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DAB76D13-ABD3-4DEB-9EDF-0D0548317C04}" xr6:coauthVersionLast="47" xr6:coauthVersionMax="47" xr10:uidLastSave="{00000000-0000-0000-0000-000000000000}"/>
  <bookViews>
    <workbookView xWindow="360" yWindow="15" windowWidth="20955" windowHeight="9720" firstSheet="2" activeTab="2" xr2:uid="{00000000-000D-0000-FFFF-FFFF00000000}"/>
  </bookViews>
  <sheets>
    <sheet name="RECEITA" sheetId="1" r:id="rId1"/>
    <sheet name="DESPESA" sheetId="2" r:id="rId2"/>
    <sheet name="DASHBOARD" sheetId="3" r:id="rId3"/>
    <sheet name="base_dado_" sheetId="4" state="hidden" r:id="rId4"/>
    <sheet name="_DadosAux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5" l="1"/>
  <c r="B22" i="5"/>
  <c r="B21" i="5"/>
  <c r="B20" i="5"/>
  <c r="B19" i="5"/>
  <c r="B13" i="5"/>
  <c r="B12" i="5"/>
  <c r="B8" i="5"/>
  <c r="B6" i="5"/>
  <c r="E5" i="5"/>
  <c r="E4" i="5"/>
  <c r="R3" i="5"/>
  <c r="E3" i="5"/>
  <c r="R2" i="5"/>
  <c r="E2" i="5"/>
  <c r="C33" i="4"/>
  <c r="C32" i="4"/>
  <c r="C27" i="4"/>
  <c r="C26" i="4"/>
  <c r="C25" i="4"/>
  <c r="C24" i="4"/>
  <c r="C23" i="4"/>
  <c r="C20" i="4"/>
  <c r="C19" i="4"/>
  <c r="C14" i="4"/>
  <c r="C13" i="4"/>
  <c r="C12" i="4"/>
  <c r="J27" i="2"/>
  <c r="M27" i="2" s="1"/>
  <c r="J26" i="2"/>
  <c r="M26" i="2" s="1"/>
  <c r="J25" i="2"/>
  <c r="M25" i="2" s="1"/>
  <c r="J24" i="2"/>
  <c r="M24" i="2" s="1"/>
  <c r="J23" i="2"/>
  <c r="M23" i="2" s="1"/>
  <c r="J22" i="2"/>
  <c r="M22" i="2" s="1"/>
  <c r="J21" i="2"/>
  <c r="M21" i="2" s="1"/>
  <c r="J20" i="2"/>
  <c r="M20" i="2" s="1"/>
  <c r="J19" i="2"/>
  <c r="M19" i="2" s="1"/>
  <c r="J18" i="2"/>
  <c r="M18" i="2" s="1"/>
  <c r="J17" i="2"/>
  <c r="M17" i="2" s="1"/>
  <c r="J16" i="2"/>
  <c r="M16" i="2" s="1"/>
  <c r="J15" i="2"/>
  <c r="C10" i="2"/>
  <c r="F9" i="2"/>
  <c r="C9" i="2"/>
  <c r="C8" i="2"/>
  <c r="C7" i="2"/>
  <c r="C3" i="2"/>
  <c r="I27" i="1"/>
  <c r="I26" i="1"/>
  <c r="I25" i="1"/>
  <c r="I24" i="1"/>
  <c r="I23" i="1"/>
  <c r="I22" i="1"/>
  <c r="I21" i="1"/>
  <c r="I20" i="1"/>
  <c r="I19" i="1"/>
  <c r="I18" i="1"/>
  <c r="I17" i="1"/>
  <c r="I16" i="1"/>
  <c r="C10" i="1"/>
  <c r="C9" i="1"/>
  <c r="C8" i="1"/>
  <c r="C7" i="1"/>
  <c r="C3" i="1"/>
  <c r="B1" i="5" l="1"/>
  <c r="C9" i="4"/>
  <c r="B3" i="5"/>
  <c r="C11" i="4"/>
  <c r="B4" i="5"/>
  <c r="G10" i="1"/>
  <c r="B11" i="5"/>
  <c r="C24" i="3" s="1"/>
  <c r="B10" i="5"/>
  <c r="B9" i="5"/>
  <c r="C29" i="4"/>
  <c r="K16" i="1"/>
  <c r="L16" i="1" s="1"/>
  <c r="K17" i="1"/>
  <c r="L17" i="1" s="1"/>
  <c r="L18" i="1"/>
  <c r="K18" i="1"/>
  <c r="K19" i="1"/>
  <c r="L19" i="1" s="1"/>
  <c r="L20" i="1"/>
  <c r="K20" i="1"/>
  <c r="K21" i="1"/>
  <c r="L21" i="1" s="1"/>
  <c r="K22" i="1"/>
  <c r="L22" i="1" s="1"/>
  <c r="L23" i="1"/>
  <c r="K23" i="1"/>
  <c r="K24" i="1"/>
  <c r="L24" i="1" s="1"/>
  <c r="K25" i="1"/>
  <c r="L25" i="1" s="1"/>
  <c r="L26" i="1"/>
  <c r="K26" i="1"/>
  <c r="L27" i="1"/>
  <c r="K27" i="1"/>
  <c r="B15" i="5"/>
  <c r="C16" i="4"/>
  <c r="B17" i="5"/>
  <c r="C18" i="4"/>
  <c r="I9" i="2"/>
  <c r="B18" i="5"/>
  <c r="I10" i="2"/>
  <c r="B26" i="5"/>
  <c r="H24" i="3" s="1"/>
  <c r="B25" i="5"/>
  <c r="C25" i="3" s="1"/>
  <c r="B24" i="5"/>
  <c r="C31" i="4"/>
  <c r="C30" i="4"/>
  <c r="M15" i="2"/>
  <c r="F8" i="2" s="1"/>
  <c r="F10" i="2" s="1"/>
  <c r="B16" i="5" l="1"/>
  <c r="G15" i="3" s="1"/>
  <c r="C17" i="4"/>
  <c r="I8" i="2"/>
  <c r="K4" i="5"/>
  <c r="I32" i="3"/>
  <c r="B34" i="5"/>
  <c r="L15" i="3" s="1"/>
  <c r="K3" i="5"/>
  <c r="I31" i="3"/>
  <c r="B36" i="5"/>
  <c r="O2" i="5"/>
  <c r="I34" i="3"/>
  <c r="I29" i="3"/>
  <c r="B13" i="3"/>
  <c r="E8" i="1"/>
  <c r="E9" i="1"/>
  <c r="B7" i="5" s="1"/>
  <c r="E10" i="1"/>
  <c r="H4" i="5"/>
  <c r="N32" i="3"/>
  <c r="L32" i="3"/>
  <c r="F32" i="3"/>
  <c r="B33" i="5"/>
  <c r="H3" i="5"/>
  <c r="N31" i="3"/>
  <c r="L31" i="3"/>
  <c r="F31" i="3"/>
  <c r="B35" i="5"/>
  <c r="N2" i="5"/>
  <c r="L34" i="3"/>
  <c r="F34" i="3"/>
  <c r="N29" i="3"/>
  <c r="L29" i="3"/>
  <c r="F29" i="3"/>
  <c r="B7" i="3"/>
  <c r="N33" i="3" l="1"/>
  <c r="L33" i="3"/>
  <c r="F33" i="3"/>
  <c r="L19" i="3"/>
  <c r="N4" i="5"/>
  <c r="L9" i="3"/>
  <c r="L7" i="3"/>
  <c r="B2" i="5"/>
  <c r="C10" i="4"/>
  <c r="B5" i="5"/>
  <c r="E11" i="1"/>
  <c r="G9" i="1" s="1"/>
  <c r="I33" i="3"/>
  <c r="O4" i="5"/>
  <c r="L13" i="3"/>
  <c r="B32" i="5"/>
  <c r="T3" i="5" s="1"/>
  <c r="B30" i="5"/>
  <c r="O3" i="5"/>
  <c r="K2" i="5"/>
  <c r="I30" i="3"/>
  <c r="G13" i="3"/>
  <c r="T4" i="5" l="1"/>
  <c r="G19" i="3"/>
  <c r="B31" i="5"/>
  <c r="B29" i="5"/>
  <c r="B28" i="5"/>
  <c r="N3" i="5"/>
  <c r="H2" i="5"/>
  <c r="C22" i="4"/>
  <c r="N34" i="3"/>
  <c r="N30" i="3"/>
  <c r="L30" i="3"/>
  <c r="F30" i="3"/>
  <c r="B21" i="3"/>
  <c r="G9" i="3"/>
  <c r="G7" i="3"/>
  <c r="M25" i="3" l="1"/>
  <c r="B19" i="3"/>
  <c r="M24" i="3"/>
  <c r="T2" i="5"/>
  <c r="H25" i="3"/>
</calcChain>
</file>

<file path=xl/sharedStrings.xml><?xml version="1.0" encoding="utf-8"?>
<sst xmlns="http://schemas.openxmlformats.org/spreadsheetml/2006/main" count="431" uniqueCount="340">
  <si>
    <t>Mara Nery</t>
  </si>
  <si>
    <t>CNPJ: 00.000.000/0001-00</t>
  </si>
  <si>
    <t xml:space="preserve">Ref.: </t>
  </si>
  <si>
    <t>Março/2025   |</t>
  </si>
  <si>
    <t>CONTROLE RECEITA MENSAL</t>
  </si>
  <si>
    <t>RESUMO FINANCEIRO</t>
  </si>
  <si>
    <t>Total  Bruto a Receber:</t>
  </si>
  <si>
    <t>Total A Receber:</t>
  </si>
  <si>
    <t>Boleto:</t>
  </si>
  <si>
    <t>Total Pendente:</t>
  </si>
  <si>
    <t>Cartão:</t>
  </si>
  <si>
    <t>Recebido:</t>
  </si>
  <si>
    <t>Total em Atraso:</t>
  </si>
  <si>
    <t>Depósito:</t>
  </si>
  <si>
    <t>Em atraso:</t>
  </si>
  <si>
    <t>Total Entrada:</t>
  </si>
  <si>
    <t>ID</t>
  </si>
  <si>
    <t>CLIENTE</t>
  </si>
  <si>
    <t>DESCRIÇÃO</t>
  </si>
  <si>
    <t>CATEGORIA</t>
  </si>
  <si>
    <t>EMISSÃO</t>
  </si>
  <si>
    <t>VENCIMENTO</t>
  </si>
  <si>
    <t>VALOR TOTAL (R$)</t>
  </si>
  <si>
    <t>BOLETO</t>
  </si>
  <si>
    <t>STATUS</t>
  </si>
  <si>
    <t>DATA RECEBIMENTO</t>
  </si>
  <si>
    <t>DESCONTO (-) ACRÉSCIMO (+)  (R$)</t>
  </si>
  <si>
    <t>VALOR FINAL (R$)</t>
  </si>
  <si>
    <t>OBSERVAÇÕES</t>
  </si>
  <si>
    <t>Empresa A</t>
  </si>
  <si>
    <t>-</t>
  </si>
  <si>
    <t>Venda</t>
  </si>
  <si>
    <t>Depósito</t>
  </si>
  <si>
    <t>Empresa B</t>
  </si>
  <si>
    <t>Empresa C</t>
  </si>
  <si>
    <t>Empresa D</t>
  </si>
  <si>
    <t>Produto x</t>
  </si>
  <si>
    <t>Locação</t>
  </si>
  <si>
    <t>Cartão</t>
  </si>
  <si>
    <t>Empresa E</t>
  </si>
  <si>
    <t>Boleto</t>
  </si>
  <si>
    <t>Empresa F</t>
  </si>
  <si>
    <t>Empresa G</t>
  </si>
  <si>
    <t>Empresa H</t>
  </si>
  <si>
    <t>Empresa I</t>
  </si>
  <si>
    <t>Empresa J</t>
  </si>
  <si>
    <t>Empresa K</t>
  </si>
  <si>
    <t>Empresa L</t>
  </si>
  <si>
    <t>Produto Y</t>
  </si>
  <si>
    <t>Developed by Mara N,</t>
  </si>
  <si>
    <t>CONTROLE DESPESA MENSAL</t>
  </si>
  <si>
    <t>Total Bruto a Pagar:</t>
  </si>
  <si>
    <t>Total A Pagar:</t>
  </si>
  <si>
    <t>Pago:</t>
  </si>
  <si>
    <t>Total Em Aberto:</t>
  </si>
  <si>
    <t>Em aberto:</t>
  </si>
  <si>
    <t>Total Em Atraso:</t>
  </si>
  <si>
    <t>Total Final:</t>
  </si>
  <si>
    <t>FORNECEDOR</t>
  </si>
  <si>
    <t>RECEBIMENTO</t>
  </si>
  <si>
    <t>PAGAMENTO</t>
  </si>
  <si>
    <t>DESCONTO  (R$)</t>
  </si>
  <si>
    <t>JUROS   (R$)</t>
  </si>
  <si>
    <t>Neoenergia</t>
  </si>
  <si>
    <t>Energia</t>
  </si>
  <si>
    <t>Operacional</t>
  </si>
  <si>
    <t>Internet</t>
  </si>
  <si>
    <t>Office Supplies</t>
  </si>
  <si>
    <t>Telefonia</t>
  </si>
  <si>
    <t>Simples Nacional</t>
  </si>
  <si>
    <t>Imposto</t>
  </si>
  <si>
    <t>Financeiro</t>
  </si>
  <si>
    <t>Alvará</t>
  </si>
  <si>
    <t>Licença</t>
  </si>
  <si>
    <t>Administrativo</t>
  </si>
  <si>
    <t>F. de Pagamento</t>
  </si>
  <si>
    <t>Salários</t>
  </si>
  <si>
    <t>Geladeira</t>
  </si>
  <si>
    <t>Investimento</t>
  </si>
  <si>
    <t>DAS MEI</t>
  </si>
  <si>
    <t>Site</t>
  </si>
  <si>
    <t>ICMS</t>
  </si>
  <si>
    <t>Segurança Priv</t>
  </si>
  <si>
    <t>Vale Transporte</t>
  </si>
  <si>
    <t>Colaboradores</t>
  </si>
  <si>
    <t xml:space="preserve">ANÁLISE FINANCEIRO GERENCIAL </t>
  </si>
  <si>
    <t xml:space="preserve"> </t>
  </si>
  <si>
    <t xml:space="preserve"> Análise de Desempenho, Risco e Eficiência Financeira do Período  </t>
  </si>
  <si>
    <t>MARÇO/2026'</t>
  </si>
  <si>
    <t xml:space="preserve">   RECEITA</t>
  </si>
  <si>
    <t>RECEITA BRUTA DO MÊS</t>
  </si>
  <si>
    <t>RECEBIDO (CAIXA)</t>
  </si>
  <si>
    <t>EM RISCO DE RECEBER</t>
  </si>
  <si>
    <t xml:space="preserve">  Fórmula: =RECEITA!C7  —  Clientes no período:</t>
  </si>
  <si>
    <t xml:space="preserve">  Fórmula: =RECEITA!E10  —  Eficiência de cobrança:</t>
  </si>
  <si>
    <t xml:space="preserve">  Fórmula: =RECEITA!C9+RECEITA!C10  —  Pendente + Atrasado</t>
  </si>
  <si>
    <t xml:space="preserve">  DESPESA </t>
  </si>
  <si>
    <t>DESPESA BRUTA DO MÊS</t>
  </si>
  <si>
    <t xml:space="preserve"> TOTAL PAGO</t>
  </si>
  <si>
    <t xml:space="preserve"> EM ABERTO + ATRASADO</t>
  </si>
  <si>
    <t xml:space="preserve">  Fórmula: =DESPESA!C7  —  Lançamentos:</t>
  </si>
  <si>
    <t xml:space="preserve">  Fórmula: =DESPESA!F10  —  % sobre bruto:</t>
  </si>
  <si>
    <t xml:space="preserve">  Fórmula: =DESPESA!C9+DESPESA!C10  —  Risco de caixa:</t>
  </si>
  <si>
    <t xml:space="preserve">  GERENCIAIS</t>
  </si>
  <si>
    <t>SALDO DE CAIXA REAL</t>
  </si>
  <si>
    <t>COMPROMETIMENTO FINANC.</t>
  </si>
  <si>
    <t xml:space="preserve"> TICKET MÉDIO DE RECEITA</t>
  </si>
  <si>
    <t xml:space="preserve">  Fórmula: =Recebido − Pago  —  Margem líquida:</t>
  </si>
  <si>
    <t xml:space="preserve">  Fórmula: =Pago÷Recebido  —  Desp paga ÷ Rec recebida</t>
  </si>
  <si>
    <t xml:space="preserve">  Fórmula: =Bruto÷Qtd.Clientes  —  Ticket médio despesa:</t>
  </si>
  <si>
    <t xml:space="preserve">  PAINEL DE ALERTAS E RISCOS</t>
  </si>
  <si>
    <t>⚠</t>
  </si>
  <si>
    <t>🔴</t>
  </si>
  <si>
    <t>📉</t>
  </si>
  <si>
    <t>🔔</t>
  </si>
  <si>
    <t>✅</t>
  </si>
  <si>
    <t>💡</t>
  </si>
  <si>
    <t xml:space="preserve">  RESUMO FINANCEIRO</t>
  </si>
  <si>
    <t>INDICADOR</t>
  </si>
  <si>
    <t>RECEITA (R$)</t>
  </si>
  <si>
    <t>DESPESA (R$)</t>
  </si>
  <si>
    <t>VARIAÇÃO (R$)</t>
  </si>
  <si>
    <t>% S/ BRUTO REC.</t>
  </si>
  <si>
    <t>Bruto Total (Faturado/Lançado)</t>
  </si>
  <si>
    <t>Realizado (Recebido / Pago)</t>
  </si>
  <si>
    <t>Pendente / Em Aberto</t>
  </si>
  <si>
    <t>Atrasado (vencido não liquidado)</t>
  </si>
  <si>
    <t>Ticket Médio (por cliente/lanç.)</t>
  </si>
  <si>
    <t>TOTAIS DO PERÍODO</t>
  </si>
  <si>
    <t xml:space="preserve">   ANÁLISE GRÁFICA </t>
  </si>
  <si>
    <t>Receitas por Status</t>
  </si>
  <si>
    <t>Despesas por Status</t>
  </si>
  <si>
    <t>Despesas por Categoria</t>
  </si>
  <si>
    <t>Receita vs Despesa — Bruto × Realizado × Em Risco</t>
  </si>
  <si>
    <t>Receita por Categoria</t>
  </si>
  <si>
    <t>Eficiência de Cobrança vs Pagamento</t>
  </si>
  <si>
    <t xml:space="preserve"> FÓRMULAS             —           FINANCEIRO GERENCIAL</t>
  </si>
  <si>
    <t xml:space="preserve">  Documentação técnica: cada indicador, fórmula, posicionamento e lógica analítica  —  Use este guia para auditar e/ou replicar o dashboard</t>
  </si>
  <si>
    <t xml:space="preserve">  ▸  ESTRUTURA GERAL DO ARQUIVO</t>
  </si>
  <si>
    <t>Aba RECEITA</t>
  </si>
  <si>
    <t>Linhas 16-27 (dados), L7,L10,L9,L10</t>
  </si>
  <si>
    <t>Contém o lançamento de cada cliente: ID, Nome, Categoria, Emissão, Vencimento, Valor Total, Forma de Pagamento, Status (Recebido/Pendente/Atrasado), Data de Recebimento, Desconto/Acréscimo, Valor Final. Os totalizadores estão nas linhas 7-10.</t>
  </si>
  <si>
    <t>Aba DESPESA</t>
  </si>
  <si>
    <t>Linhas 15-27 (dados), C7,F10,C9,C10</t>
  </si>
  <si>
    <t>Contém lançamentos de despesas: ID, Fornecedor, Descrição, Categoria (Operacional/Financeiro/Administrativo/Investimento), Emissão, Forma, Vencimento, Valor Total, Data Pagamento, Status (Quitado/Em Aberto/Atrasado), Desconto, Juros, Valor Final.</t>
  </si>
  <si>
    <t>Aba _DadosAux (oculta)</t>
  </si>
  <si>
    <t>Agregadores e séries de gráficos</t>
  </si>
  <si>
    <t>Aba auxiliar oculta que centraliza todas as fórmulas de agregação (SUMIF, COUNTIF, cálculos derivados). O DASHBOARD lê apenas desta aba, tornando as fórmulas do dashboard simples e à prova de erros.</t>
  </si>
  <si>
    <t xml:space="preserve">  ▸  SEÇÃO 1 — INDICADORES DE RECEITA (Linhas 5-8)</t>
  </si>
  <si>
    <t>Receita Bruta do Mês</t>
  </si>
  <si>
    <t>Puxa diretamente a célula C7 da aba RECEITA, que contém "Total Bruto a Receber". Representa o faturamento total emitido no mês, independente de ter sido recebido. É o topo da pirâmide de receitas.</t>
  </si>
  <si>
    <t>Total Recebido</t>
  </si>
  <si>
    <t>Puxa "Total Entrada" da aba RECEITA (célula E10). Este é o valor efetivamente recebido em caixa -  soma de todos os lançamentos com status "Recebido" na coluna VALOR FINAL. É o único que representa dinheiro real no caixa.</t>
  </si>
  <si>
    <t>Saldo em Risco de Receber</t>
  </si>
  <si>
    <t>Pendente (C9) = vencimento futuro, ainda não recebido. Atrasado (C10) = vencimento já passou sem recebimento. A soma é o total que pode não ser convertido em caixa - risco de inadimplência.</t>
  </si>
  <si>
    <t>Eficiência de Cobrança</t>
  </si>
  <si>
    <t>Recebido ÷ Bruto. Indica qual percentual do faturado foi efetivamente recebido. Meta saudável: ≥90%. Entre 70-90%: atenção. Abaixo de 70%: problema sério de inadimplência. IFERROR protege contra divisão por zero.</t>
  </si>
  <si>
    <t>Qtd. Clientes</t>
  </si>
  <si>
    <t>COUNTA conta quantas células não-vazias existem na coluna ID da aba RECEITA entre as linhas 16 e 27. Cada linha é um cliente/lançamento. Não usa COUNT (numérico) para evitar erro se o ID for texto.</t>
  </si>
  <si>
    <t>SUMIF: 1º parâmetro = intervalo de critério (col D, CATEGORIA); 2º = critério ("Venda" ou "Locação"); 3º = intervalo de soma (col G, VALOR TOTAL). Agrupa receitas por tipo de venda para análise de mix de produtos.</t>
  </si>
  <si>
    <t xml:space="preserve">  ▸  SEÇÃO 2 — INDICADORES DE DESPESA (Linhas 10-13)</t>
  </si>
  <si>
    <t>Despesa Bruta do Mês</t>
  </si>
  <si>
    <t>Puxa "Total Bruto a Pagar" da aba DESPESA, célula C7. Representa o total de compromissos financeiros do período -  todos os lançamentos, independente de pagamento.</t>
  </si>
  <si>
    <t>Total Pago</t>
  </si>
  <si>
    <t>Puxa "Total Final" da aba DESPESA (célula F10). Este valor reflete saídas reais de caixa - soma de todos os itens com status "Quitado", já considerando descontos obtidos e juros pagos.</t>
  </si>
  <si>
    <t>Em Aberto + Atrasado</t>
  </si>
  <si>
    <t>Em Aberto (C9) = despesas com vencimento futuro ainda não pagas. Atrasado (C10) = despesas com vencimento passado não pagas. Juntos formam o "passivo pendente" -  risco de saída de caixa iminente.</t>
  </si>
  <si>
    <t>Despesa por Categoria</t>
  </si>
  <si>
    <t>SUMIF na aba DESPESA: agrupa por Categoria (col D) somando Valor Total (col H). As categorias são: Operacional (custo corrente), Financeiro (impostos/tributos), Administrativo (licenças/contratos), Investimento (ativos/capex).</t>
  </si>
  <si>
    <t>% Pago sobre Bruto</t>
  </si>
  <si>
    <t>Pago ÷ Bruto Despesa. Indica quantos % do total de compromissos foi quitado. 100% = tudo pago. Abaixo de 70% = muitas pendências. IFERROR evita erro se não há despesas.</t>
  </si>
  <si>
    <t xml:space="preserve">  ▸  SEÇÃO 3 — INDICADORES GERENCIAIS (Linhas 15-18)</t>
  </si>
  <si>
    <t>Resultado do Mês</t>
  </si>
  <si>
    <t>Recebido MENOS Pago. Se positivo: sobraram recursos (superávit). Se negativo: saiu mais do que entrou (déficit). Atenção: diferente de Receita Bruta - Despesa Bruta, pois usa apenas os valores realizados de fato.</t>
  </si>
  <si>
    <t>Margem Líquida</t>
  </si>
  <si>
    <t>(Recebido - Pago) ÷ Recebido. Percentual que sobra do total recebido após quitar todas as despesas. Exemplo: 20% de margem = R$ 0,20 de lucro para cada R$ 1,00 recebido. IFERROR protege divisão por zero.</t>
  </si>
  <si>
    <t>Comprometimento Financeiro</t>
  </si>
  <si>
    <t>Despesa Paga ÷ Receita Recebida. Indica o quanto da receita está comprometida com despesas. &gt;100% = insolvência no período. 80-100% = zona de perigo. &lt;60% = situação saudável. Inverso da margem.</t>
  </si>
  <si>
    <t>Lógica IF de Alerta</t>
  </si>
  <si>
    <t>IF aninhado: verifica se comprometimento &gt; 100% (crítico: déficit real). Se não, verifica &gt; 80% (atenção: quase sem margem). Caso contrário, exibe mensagem positiva. Funciona como semáforo dinâmico.</t>
  </si>
  <si>
    <t>Ticket Médio Receita</t>
  </si>
  <si>
    <t>Receita Bruta ÷ Quantidade de Clientes. Valor médio de cada lançamento de receita. Útil para identificar concentração: ticket alto com poucos clientes = risco de dependência.</t>
  </si>
  <si>
    <t>Ticket Médio Despesa</t>
  </si>
  <si>
    <t>Despesa Bruta ÷ Quantidade de Lançamentos. Tamanho médio de cada compromisso de despesa. Comparar com ticket de receita: se desp &gt; rec, cada despesa é mais pesada que cada receita - alerta de estrutura de custos.</t>
  </si>
  <si>
    <t xml:space="preserve">  ▸  SEÇÃO 4 — PAINEL DE ALERTAS (Linhas 20-22)</t>
  </si>
  <si>
    <t>Alerta Atraso Receita</t>
  </si>
  <si>
    <t>COUNTIF conta quantos clientes têm status "Atrasado" na coluna I (STATUS) da aba RECEITA entre linhas 16-27. Cada unidade = 1 cliente inadimplente. Usado em conjunto com TEXT para exibir mensagem formatada.</t>
  </si>
  <si>
    <t>Alerta Em Aberto Despesa</t>
  </si>
  <si>
    <t>COUNTIF na coluna J (STATUS) da aba DESPESA. Conta itens com status "Em Aberto" = vencimento futuro não pago. Diferente de "Atrasado" -  estes ainda estão no prazo.</t>
  </si>
  <si>
    <t>Alerta Atrasado Despesa</t>
  </si>
  <si>
    <t>Conta despesas com vencimento já passado e não pagas. Cada unidade representa risco de multa, juros e protestos. Mensagem concatenada com TEXT para mostrar o valor total em risco.</t>
  </si>
  <si>
    <t>IF que verifica se eficiência ≥ 80%. Em caso positivo, confirma com ícone ✓. Se negativo, exibe ⚠ alertando que o nível de inadimplência está acima do tolerável.</t>
  </si>
  <si>
    <t>Resultado Semáforo</t>
  </si>
  <si>
    <t>IF + TEXT: verifica se resultado ≥ 0. Se sim, exibe superávit formatado. Se negativo, usa ABS() para evitar o sinal negativo no texto e exibe "déficit" de forma legível.</t>
  </si>
  <si>
    <t xml:space="preserve">  ▸  SEÇÃO 5 — TABELA RESUMO (Linhas 24-31)</t>
  </si>
  <si>
    <t>Posicionamento</t>
  </si>
  <si>
    <t>Linhas 25-31, colunas B até O</t>
  </si>
  <si>
    <t>5 linhas de dados + 1 cabeçalho + 1 total. 5 colunas: Indicador (B-E) | Receita R$ (F-H) | Despesa R$ (I-K) | Variação (L-M) | % sobre Bruto (N-O). Layout em grade com alternância de cores branco/cinza.</t>
  </si>
  <si>
    <t>Coluna Variação</t>
  </si>
  <si>
    <t>Receita_linha - Despesa_linha  (diferenca por linha)</t>
  </si>
  <si>
    <t>Para cada linha, a diferença mostra se a receita supera a despesa naquele indicador específico. Formatação condicional de cor: positivo exibe normal (azul), negativo exibe entre parênteses em vermelho via formato "#,##0.00;[Red](#,##0.00)".</t>
  </si>
  <si>
    <t>Coluna % sobre Bruto</t>
  </si>
  <si>
    <t>Valor_linha / _DadosAux!B1  (proporcao sobre bruto)</t>
  </si>
  <si>
    <t>Cada valor de receita é dividido pelo Bruto Total de Receita. Mostra qual percentual do faturamento bruto aquele indicador representa. Ex: Pendente = 15,2% do bruto = 15,2% em risco.</t>
  </si>
  <si>
    <t>Linha de Total</t>
  </si>
  <si>
    <t>_DadosAux!B1 e _DadosAux!B15  (totais brutos)</t>
  </si>
  <si>
    <t>A última linha usa fundo navy e traz os totais de Receita Bruta (col F-H) e Despesa Bruta (col I-K) lado a lado, com variação calculada diretamente. Serve como linha de rodapé do bloco analítico.</t>
  </si>
  <si>
    <t xml:space="preserve">  ▸  SEÇÃO 6 — GRÁFICOS (Linha 33 em diante)</t>
  </si>
  <si>
    <t>Pizza: Receita por Status</t>
  </si>
  <si>
    <t>_DadosAux!G1:H4</t>
  </si>
  <si>
    <t>3 fatias: Recebido (verde #1D6A38), Pendente (âmbar #A04000), Atrasado (vermelho #C0392B). Dados vindos de fórmulas _DadosAux que puxam RECEITA!E10, RECEITA!C9 e RECEITA!C10 respectivamente.</t>
  </si>
  <si>
    <t>Pizza: Despesa por Status</t>
  </si>
  <si>
    <t>_DadosAux!J1:K4</t>
  </si>
  <si>
    <t>3 fatias: Pago (verde), Em Aberto (âmbar), Atrasado (vermelho). Dados de DESPESA!F10, C9, C10. Mesma paleta da pizza de receita para facilitar comparação visual entre os dois padrões.</t>
  </si>
  <si>
    <t>Barra: Despesa por Categoria</t>
  </si>
  <si>
    <t>_DadosAux!D1:E5</t>
  </si>
  <si>
    <t>Barras horizontais com 4 categorias. Usa SUMIF para cada categoria. A barra mais longa revela onde está concentrado o maior custo -  tipicamente Operacional (salários, energia) ou Financeiro (impostos).</t>
  </si>
  <si>
    <t>Colunas: Receita vs Despesa</t>
  </si>
  <si>
    <t>_DadosAux!M1:O4</t>
  </si>
  <si>
    <t>Gráfico de colunas agrupadas comparando Receita x Despesa em 3 dimensões: Bruto, Realizado (caixa) e Em Risco. Azul = receita; Vermelho = despesa. Visualização imediata do gap entre o planejado e o realizado.</t>
  </si>
  <si>
    <t>Pizza: Receita por Categoria</t>
  </si>
  <si>
    <t>_DadosAux!Q1:R3</t>
  </si>
  <si>
    <t>Divide receitas em Venda vs Locação usando SUMIF por categoria. Revela o mix de receita: empresa mais dependente de vendas avulsas ou de receitas recorrentes (locações/contratos).</t>
  </si>
  <si>
    <t>Barras: Eficiência %</t>
  </si>
  <si>
    <t>_DadosAux!S1:T4</t>
  </si>
  <si>
    <t>3 barras: Eficiência Cobrança (recebido/bruto rec), Eficiência Pagamento (pago/bruto desp), Comprometimento (pago/recebido). Todas em percentual. Permite benchmarking rápido da saúde financeira do período.</t>
  </si>
  <si>
    <t xml:space="preserve">  ▸  LAYOUT E POSICIONAMENTO MILIMÉTRICO</t>
  </si>
  <si>
    <t>Linha 1 — Altura 8px</t>
  </si>
  <si>
    <t>Faixa superior (cor: NAVY #0F2D5E)</t>
  </si>
  <si>
    <t>Margem de respiro acima do header. Cria separação visual entre a borda da tela e o conteúdo. Cor navy completa a sensação de moldura.</t>
  </si>
  <si>
    <t>Linha 2 — Altura 50px</t>
  </si>
  <si>
    <t>Cabeçalho principal (NAVY + fonte 16pt bold)</t>
  </si>
  <si>
    <t>Título do dashboard + empresa + CNPJ + referência de mês. Fonte Calibri 16pt branca. Ocupa toda a largura A:P com merge_cells. É o ponto de identificação imediata do documento.</t>
  </si>
  <si>
    <t>Linha 3 — Altura 14px</t>
  </si>
  <si>
    <t>Sub-cabeçalho descritivo (BLUE_MID + 9pt itálico)</t>
  </si>
  <si>
    <t>Descreve o propósito analítico e indica a fonte de dados. Cor azul médio cria hierarquia visual abaixo do header escuro.</t>
  </si>
  <si>
    <t>Linhas 5-8 — KPIs Receita</t>
  </si>
  <si>
    <t>Cols B:E, G:J, L:O — 3 cards de 4 cols cada</t>
  </si>
  <si>
    <t>Cada card tem 4 linhas: (1) Label/header colorido - 16px; (2) Valor principal - 34px fonte 20pt; (3) Sub-label descritivo - 30px; (4) Sub-valor/indicador secundário - 22px. Borda inferior colorida = assinatura visual do card.</t>
  </si>
  <si>
    <t>Linhas 10-13 — KPIs Despesa</t>
  </si>
  <si>
    <t>Mesma estrutura dos KPIs de Receita</t>
  </si>
  <si>
    <t>Cores invertidas para despesas (vermelho/âmbar). A coluna F e K funcionam como "gutter" (separador visual) entre os grupos de cards. Largura 1.8 - estreita o suficiente para separar sem desperdiçar espaço.</t>
  </si>
  <si>
    <t>Linhas 15-18 — Indicadores Gerenciais</t>
  </si>
  <si>
    <t>3 cards: Resultado, Comprometimento, Tickets</t>
  </si>
  <si>
    <t>Mesmo padrão de card de 4 linhas. Cores distintas: NAVY (neutro/resultado), PURPLE (comprometimento - indicador de risco relativo), TEAL (eficiência/produtividade). Diferenciação por cor = diferenciação de função analítica.</t>
  </si>
  <si>
    <t>Linhas 20-22 — Painel de Alertas</t>
  </si>
  <si>
    <t>2 linhas × 3 alertas (ícone + texto)</t>
  </si>
  <si>
    <t>Cada alerta ocupa 1 célula de ícone + 3 células de texto mergidas. Layout 2×3 usa as mesmas colunas dos cards (B-E, G-J, L-O) para manter alinhamento vertical. Cores de fundo claro do card correspondente.</t>
  </si>
  <si>
    <t>Linhas 25-31 — Tabela Resumo</t>
  </si>
  <si>
    <t>5 linhas dados + 1 header + 1 total</t>
  </si>
  <si>
    <t>Grade com bordas finas cinza (#GREY_MID). Alternância branco/cinza claro nas linhas. Header em BLUE_MID. Rodapé total em NAVY escuro. Células mergidas por grupo de colunas para leitura fluida.</t>
  </si>
  <si>
    <t>Linhas 33+ — Gráficos</t>
  </si>
  <si>
    <t>5 gráficos em 2 linhas horizontais</t>
  </si>
  <si>
    <t>Linha 1 (linha 35): 3 gráficos de 12x10 - Pizza Receita | Pizza Despesa | Barra Categoria. Linha 2 (linha 53): Colunas comparativo 18x10 | Pizza Categoria Rec. 12x10 | Barras Eficiência 12x10.</t>
  </si>
  <si>
    <t xml:space="preserve">  ▸  SISTEMA DE CORES — SIGNIFICADO E PSICOLOGIA</t>
  </si>
  <si>
    <t>#0F2D5E Navy</t>
  </si>
  <si>
    <t>Fundo header, totais, seções master</t>
  </si>
  <si>
    <t>Azul muito escuro transmite autoridade, solidez e institucionalidade. Usado nos elementos de maior hierarquia visual: header principal, labels de seção, linha de totais.</t>
  </si>
  <si>
    <t>#1A5EA8 Blue Mid</t>
  </si>
  <si>
    <t>Receitas, headers de tabela, sub-header</t>
  </si>
  <si>
    <t>Azul corporativo identifica visualmente receitas e entradas de caixa. A associação azul=receita é mantida de forma consistente em todos os elementos do dashboard.</t>
  </si>
  <si>
    <t>#D6E4F7 Blue Light</t>
  </si>
  <si>
    <t>Fundo de cards de receita</t>
  </si>
  <si>
    <t>Versão pastel do azul corporativo. Fundo suave que mantém a identidade de receita sem sobrecarregar visualmente. Contrasta bem com texto navy ou azul médio.</t>
  </si>
  <si>
    <t>#C0392B Red Mid</t>
  </si>
  <si>
    <t>Despesas, alertas de risco moderado</t>
  </si>
  <si>
    <t>Vermelho saturado identifica despesas e saídas de caixa. Psicologicamente, o vermelho ativa atenção, adequado para o lado das despesas, que requer monitoramento mais próximo.</t>
  </si>
  <si>
    <t>#FAD7D3 Red Light</t>
  </si>
  <si>
    <t>Fundo de cards de despesa e alertas</t>
  </si>
  <si>
    <t>Vermelho muito claro para fundos. Mantém a identidade de despesa/risco sem ser agressivo. Usado em alertas que precisam chamar atenção sem causar pânico.</t>
  </si>
  <si>
    <t>#A04000 Amber Mid</t>
  </si>
  <si>
    <t>Saldo em risco, valores pendentes</t>
  </si>
  <si>
    <t>Âmbar/laranja escuro sinaliza "atenção mas não pânico". É o intermediário entre o verde do recebido e o vermelho do atrasado, adequado para pendências que ainda podem ser recuperadas.</t>
  </si>
  <si>
    <t>#1D6A38 Green Mid</t>
  </si>
  <si>
    <t>Valores recebidos/pagos, eficiência boa</t>
  </si>
  <si>
    <t>Verde escuro confirma realizações positivas: recebido, pago, eficiência boa. Transmite saúde financeira e cumprimento de metas.</t>
  </si>
  <si>
    <t>#6C3483 Purple</t>
  </si>
  <si>
    <t>Comprometimento financeiro</t>
  </si>
  <si>
    <t>Roxo é distinto de azul e vermelho, marcando o comprometimento como um indicador de natureza diferente, relacional, não absoluto. Chama atenção sem confundir com receita (azul) ou despesa (vermelho).</t>
  </si>
  <si>
    <t>#117A65 Teal</t>
  </si>
  <si>
    <t>Eficiência, tickets médios, produtividade</t>
  </si>
  <si>
    <t>Verde-azulado indica indicadores operacionais de eficiência. Diferente do verde de receita, faz referência a KPIs de processo, não de resultado financeiro.</t>
  </si>
  <si>
    <t>#F4F6FB BG Light</t>
  </si>
  <si>
    <t>Fundo geral do dashboard</t>
  </si>
  <si>
    <t>Cinza muito levemente azulado,  não é branco puro, evitando fadiga visual. O toque de azul mantém coerência com a paleta corporativa do dashboard.</t>
  </si>
  <si>
    <t>RECEITA_BRUTA</t>
  </si>
  <si>
    <t>Categoria Despesa</t>
  </si>
  <si>
    <t>Valor</t>
  </si>
  <si>
    <t>Status Receita</t>
  </si>
  <si>
    <t>Status Despesa</t>
  </si>
  <si>
    <t>Comparativo</t>
  </si>
  <si>
    <t>Receita</t>
  </si>
  <si>
    <t>Despesa</t>
  </si>
  <si>
    <t>Cat Receita</t>
  </si>
  <si>
    <t>Indicador</t>
  </si>
  <si>
    <t>Percentual</t>
  </si>
  <si>
    <t>RECEITA_RECEBIDA</t>
  </si>
  <si>
    <t>Recebido</t>
  </si>
  <si>
    <t>Pago</t>
  </si>
  <si>
    <t>Bruto</t>
  </si>
  <si>
    <t>Efic. Cobrança (Rec)</t>
  </si>
  <si>
    <t>RECEITA_PENDENTE</t>
  </si>
  <si>
    <t>Pendente</t>
  </si>
  <si>
    <t>Em Aberto</t>
  </si>
  <si>
    <t>Realizado</t>
  </si>
  <si>
    <t>Efic. Pagamento (Desp)</t>
  </si>
  <si>
    <t>RECEITA_ATRASADA</t>
  </si>
  <si>
    <t>Atrasado</t>
  </si>
  <si>
    <t>Em Risco</t>
  </si>
  <si>
    <t>Comprometimento</t>
  </si>
  <si>
    <t>RECEITA_BOLETO</t>
  </si>
  <si>
    <t>RECEITA_CARTAO</t>
  </si>
  <si>
    <t>RECEITA_DEPOSITO</t>
  </si>
  <si>
    <t>REC_COUNT</t>
  </si>
  <si>
    <t>REC_RECEBIDO_CT</t>
  </si>
  <si>
    <t>REC_PENDENTE_CT</t>
  </si>
  <si>
    <t>REC_ATRASADO_CT</t>
  </si>
  <si>
    <t>REC_VENDA</t>
  </si>
  <si>
    <t>REC_LOCACAO</t>
  </si>
  <si>
    <t>DESP_BRUTA</t>
  </si>
  <si>
    <t>DESP_PAGA</t>
  </si>
  <si>
    <t>DESP_EMABERTO</t>
  </si>
  <si>
    <t>DESP_ATRASADA</t>
  </si>
  <si>
    <t>DESP_OP</t>
  </si>
  <si>
    <t>DESP_FIN</t>
  </si>
  <si>
    <t>DESP_ADM</t>
  </si>
  <si>
    <t>DESP_INV</t>
  </si>
  <si>
    <t>DESP_COUNT</t>
  </si>
  <si>
    <t>DESP_QUITADO_CT</t>
  </si>
  <si>
    <t>DESP_ATRASADO_CT</t>
  </si>
  <si>
    <t>DESP_EMABERTO_CT</t>
  </si>
  <si>
    <t>RESULTADO</t>
  </si>
  <si>
    <t>MARGEM</t>
  </si>
  <si>
    <t>COMPROMETIMENTO</t>
  </si>
  <si>
    <t>EFIC_REC</t>
  </si>
  <si>
    <t>EFIC_DESP</t>
  </si>
  <si>
    <t>SALDO_RISCO_REC</t>
  </si>
  <si>
    <t>SALDO_RISCO_DESP</t>
  </si>
  <si>
    <t>TICKET_REC</t>
  </si>
  <si>
    <t>TICKET_DESP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</si>
</sst>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R$ &quot;#,##0.00;[Red]&quot;-R$ &quot;#,##0.00"/>
    <numFmt numFmtId="165" formatCode="_-[$R$-416]\ * #,##0.00_-;\-[$R$-416]\ * #,##0.00_-;_-[$R$-416]\ * \-??_-;_-@_-"/>
    <numFmt numFmtId="166" formatCode="_-* #,##0.00_-;\-* #,##0.00_-;_-* \-??_-;_-@_-"/>
    <numFmt numFmtId="167" formatCode="0.000"/>
    <numFmt numFmtId="168" formatCode="mm/yyyy"/>
    <numFmt numFmtId="169" formatCode="&quot;R$ &quot;#,##0.00"/>
    <numFmt numFmtId="170" formatCode="0.0%"/>
    <numFmt numFmtId="171" formatCode="&quot;R$ &quot;#,##0.00;[Red]&quot;R$ (&quot;#,##0.00\)"/>
    <numFmt numFmtId="172" formatCode="0.0%;[Red]\(0.0%\)"/>
    <numFmt numFmtId="173" formatCode="&quot;R$ &quot;#,##0.00&quot;  /lanc.&quot;"/>
    <numFmt numFmtId="174" formatCode="[$$-409]#,##0.00;[Red]\-[$$-409]#,##0.00"/>
  </numFmts>
  <fonts count="48">
    <font>
      <sz val="11"/>
      <color theme="1"/>
      <name val="Aptos Narrow"/>
    </font>
    <font>
      <b/>
      <sz val="18"/>
      <name val="Courier New"/>
    </font>
    <font>
      <sz val="11"/>
      <name val="Calibri"/>
    </font>
    <font>
      <b/>
      <sz val="9"/>
      <name val="Courier New"/>
    </font>
    <font>
      <b/>
      <sz val="11"/>
      <name val="Courier New"/>
    </font>
    <font>
      <b/>
      <sz val="14"/>
      <color indexed="65"/>
      <name val="Courier New"/>
    </font>
    <font>
      <sz val="9"/>
      <name val="Courier New"/>
    </font>
    <font>
      <sz val="9"/>
      <color theme="1"/>
      <name val="Courier New"/>
    </font>
    <font>
      <sz val="11"/>
      <color theme="1"/>
      <name val="Courier New"/>
    </font>
    <font>
      <b/>
      <sz val="9"/>
      <color theme="1"/>
      <name val="Courier New"/>
    </font>
    <font>
      <b/>
      <sz val="10"/>
      <color indexed="65"/>
      <name val="Courier New"/>
    </font>
    <font>
      <sz val="9"/>
      <color indexed="2"/>
      <name val="Courier New"/>
    </font>
    <font>
      <sz val="9"/>
      <color theme="0" tint="-0.499984740745262"/>
      <name val="Courier New"/>
    </font>
    <font>
      <sz val="11"/>
      <name val="Courier New"/>
    </font>
    <font>
      <sz val="11"/>
      <color theme="0" tint="-0.499984740745262"/>
      <name val="Courier New"/>
    </font>
    <font>
      <b/>
      <sz val="20"/>
      <color indexed="65"/>
      <name val="Calibri"/>
    </font>
    <font>
      <i/>
      <sz val="9"/>
      <color indexed="65"/>
      <name val="Calibri"/>
    </font>
    <font>
      <b/>
      <sz val="18"/>
      <color indexed="65"/>
      <name val="Calibri"/>
    </font>
    <font>
      <b/>
      <sz val="9"/>
      <color indexed="65"/>
      <name val="Calibri"/>
    </font>
    <font>
      <b/>
      <sz val="20"/>
      <color rgb="FF0F2D5E"/>
      <name val="Calibri"/>
    </font>
    <font>
      <i/>
      <sz val="8"/>
      <color rgb="FF5A6A8A"/>
      <name val="Calibri"/>
    </font>
    <font>
      <b/>
      <sz val="9"/>
      <color rgb="FF5A6A8A"/>
      <name val="Calibri"/>
    </font>
    <font>
      <b/>
      <sz val="8"/>
      <color rgb="FFA04000"/>
      <name val="Calibri"/>
    </font>
    <font>
      <sz val="8"/>
      <color theme="1"/>
      <name val="Aptos Narrow"/>
    </font>
    <font>
      <b/>
      <sz val="8"/>
      <color rgb="FFC0392B"/>
      <name val="Calibri"/>
    </font>
    <font>
      <b/>
      <sz val="8"/>
      <color rgb="FF6C3483"/>
      <name val="Calibri"/>
    </font>
    <font>
      <b/>
      <sz val="8"/>
      <color rgb="FF7B241C"/>
      <name val="Calibri"/>
    </font>
    <font>
      <b/>
      <sz val="8"/>
      <color rgb="FF1D6A38"/>
      <name val="Calibri"/>
    </font>
    <font>
      <b/>
      <sz val="8"/>
      <color rgb="FF117A65"/>
      <name val="Calibri"/>
    </font>
    <font>
      <b/>
      <sz val="9"/>
      <color rgb="FF0F2D5E"/>
      <name val="Calibri"/>
    </font>
    <font>
      <b/>
      <sz val="10"/>
      <color rgb="FF1A5EA8"/>
      <name val="Calibri"/>
    </font>
    <font>
      <b/>
      <sz val="10"/>
      <color rgb="FFC0392B"/>
      <name val="Calibri"/>
    </font>
    <font>
      <sz val="9"/>
      <color rgb="FF5A6A8A"/>
      <name val="Calibri"/>
    </font>
    <font>
      <sz val="11"/>
      <color theme="0" tint="-0.499984740745262"/>
      <name val="Aptos Narrow"/>
    </font>
    <font>
      <b/>
      <sz val="11"/>
      <color indexed="65"/>
      <name val="Calibri"/>
    </font>
    <font>
      <sz val="9"/>
      <color rgb="FF1A5EA8"/>
      <name val="Courier New"/>
    </font>
    <font>
      <b/>
      <sz val="9"/>
      <color theme="1"/>
      <name val="Calibri"/>
    </font>
    <font>
      <sz val="14"/>
      <color theme="1"/>
      <name val="Aptos Narrow"/>
    </font>
    <font>
      <b/>
      <sz val="14"/>
      <color rgb="FF0F2D5E"/>
      <name val="Calibri"/>
    </font>
    <font>
      <b/>
      <sz val="14"/>
      <color rgb="FF1D6A38"/>
      <name val="Calibri"/>
    </font>
    <font>
      <b/>
      <sz val="14"/>
      <color rgb="FFA04000"/>
      <name val="Calibri"/>
    </font>
    <font>
      <b/>
      <sz val="14"/>
      <color rgb="FF7B241C"/>
      <name val="Calibri"/>
    </font>
    <font>
      <b/>
      <sz val="14"/>
      <color rgb="FF6C3483"/>
      <name val="Calibri"/>
    </font>
    <font>
      <b/>
      <sz val="14"/>
      <color rgb="FF117A65"/>
      <name val="Calibri"/>
    </font>
    <font>
      <b/>
      <sz val="16"/>
      <color theme="1"/>
      <name val="Calibri"/>
    </font>
    <font>
      <b/>
      <sz val="14"/>
      <color indexed="65"/>
      <name val="Calibri"/>
    </font>
    <font>
      <b/>
      <sz val="16"/>
      <color indexed="65"/>
      <name val="Calibri"/>
    </font>
    <font>
      <b/>
      <i/>
      <sz val="11"/>
      <color indexed="65"/>
      <name val="Calibri"/>
    </font>
  </fonts>
  <fills count="26">
    <fill>
      <patternFill patternType="none"/>
    </fill>
    <fill>
      <patternFill patternType="gray125"/>
    </fill>
    <fill>
      <patternFill patternType="solid">
        <fgColor theme="3" tint="9.9887081514938816E-2"/>
        <bgColor rgb="FF1F497D"/>
      </patternFill>
    </fill>
    <fill>
      <patternFill patternType="solid">
        <fgColor indexed="65"/>
        <bgColor rgb="FFF4F6FB"/>
      </patternFill>
    </fill>
    <fill>
      <patternFill patternType="solid">
        <fgColor theme="3" tint="0.24988555558946501"/>
        <bgColor rgb="FF1A5EA8"/>
      </patternFill>
    </fill>
    <fill>
      <patternFill patternType="solid">
        <fgColor theme="4" tint="0.79989013336588644"/>
        <bgColor rgb="FFD6E4F7"/>
      </patternFill>
    </fill>
    <fill>
      <patternFill patternType="solid">
        <fgColor rgb="FF5E070E"/>
        <bgColor rgb="FF7B241C"/>
      </patternFill>
    </fill>
    <fill>
      <patternFill patternType="solid">
        <fgColor rgb="FF940C17"/>
        <bgColor rgb="FF7B241C"/>
      </patternFill>
    </fill>
    <fill>
      <patternFill patternType="solid">
        <fgColor theme="5" tint="0.79989013336588644"/>
        <bgColor rgb="FFFDEBD0"/>
      </patternFill>
    </fill>
    <fill>
      <patternFill patternType="solid">
        <fgColor theme="0"/>
        <bgColor theme="0"/>
      </patternFill>
    </fill>
    <fill>
      <patternFill patternType="solid">
        <fgColor rgb="FF0F2D5E"/>
        <bgColor rgb="FF163E64"/>
      </patternFill>
    </fill>
    <fill>
      <patternFill patternType="solid">
        <fgColor rgb="FF1A5EA8"/>
        <bgColor rgb="FF215F9A"/>
      </patternFill>
    </fill>
    <fill>
      <patternFill patternType="solid">
        <fgColor rgb="FFF4F6FB"/>
        <bgColor rgb="FFEDF0F7"/>
      </patternFill>
    </fill>
    <fill>
      <patternFill patternType="solid">
        <fgColor rgb="FFD6E4F7"/>
        <bgColor rgb="FFDAE9F8"/>
      </patternFill>
    </fill>
    <fill>
      <patternFill patternType="solid">
        <fgColor rgb="FFD4EFDF"/>
        <bgColor rgb="FFD1F2EB"/>
      </patternFill>
    </fill>
    <fill>
      <patternFill patternType="solid">
        <fgColor rgb="FFFDEBD0"/>
        <bgColor rgb="FFFAE3D6"/>
      </patternFill>
    </fill>
    <fill>
      <patternFill patternType="solid">
        <fgColor rgb="FFEDF0F7"/>
        <bgColor rgb="FFF4F6FB"/>
      </patternFill>
    </fill>
    <fill>
      <patternFill patternType="solid">
        <fgColor rgb="FFFAD7D3"/>
        <bgColor rgb="FFFAE3D6"/>
      </patternFill>
    </fill>
    <fill>
      <patternFill patternType="solid">
        <fgColor rgb="FFE8DAEF"/>
        <bgColor rgb="FFD9D9D9"/>
      </patternFill>
    </fill>
    <fill>
      <patternFill patternType="solid">
        <fgColor rgb="FFD1F2EB"/>
        <bgColor rgb="FFD4EFD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rgb="FF95B3D7"/>
      </bottom>
      <diagonal/>
    </border>
    <border>
      <left style="thin">
        <color rgb="FF95B3D7"/>
      </left>
      <right style="thin">
        <color rgb="FF1F497D"/>
      </right>
      <top/>
      <bottom style="thin">
        <color rgb="FF95B3D7"/>
      </bottom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/>
      <top/>
      <bottom style="thin">
        <color rgb="FF1F497D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n">
        <color rgb="FF95B3D7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rgb="FFBCC6D8"/>
      </left>
      <right style="thin">
        <color rgb="FFBCC6D8"/>
      </right>
      <top style="thin">
        <color rgb="FFBCC6D8"/>
      </top>
      <bottom/>
      <diagonal/>
    </border>
    <border>
      <left style="thin">
        <color rgb="FFBCC6D8"/>
      </left>
      <right style="thin">
        <color theme="1"/>
      </right>
      <top style="thin">
        <color rgb="FFBCC6D8"/>
      </top>
      <bottom/>
      <diagonal/>
    </border>
    <border>
      <left style="thin">
        <color rgb="FFBCC6D8"/>
      </left>
      <right style="thin">
        <color rgb="FFBCC6D8"/>
      </right>
      <top/>
      <bottom/>
      <diagonal/>
    </border>
    <border>
      <left style="thin">
        <color rgb="FFBCC6D8"/>
      </left>
      <right style="thin">
        <color theme="1"/>
      </right>
      <top/>
      <bottom/>
      <diagonal/>
    </border>
    <border>
      <left/>
      <right/>
      <top/>
      <bottom style="thin">
        <color rgb="FFBCC6D8"/>
      </bottom>
      <diagonal/>
    </border>
    <border>
      <left/>
      <right style="thin">
        <color theme="1"/>
      </right>
      <top/>
      <bottom style="thin">
        <color rgb="FFBCC6D8"/>
      </bottom>
      <diagonal/>
    </border>
    <border>
      <left style="thin">
        <color rgb="FFBCC6D8"/>
      </left>
      <right style="thin">
        <color rgb="FFBCC6D8"/>
      </right>
      <top style="thin">
        <color rgb="FFBCC6D8"/>
      </top>
      <bottom style="thin">
        <color rgb="FFBCC6D8"/>
      </bottom>
      <diagonal/>
    </border>
    <border>
      <left style="thin">
        <color rgb="FFBCC6D8"/>
      </left>
      <right style="thin">
        <color theme="1"/>
      </right>
      <top style="thin">
        <color rgb="FFBCC6D8"/>
      </top>
      <bottom style="thin">
        <color rgb="FFBCC6D8"/>
      </bottom>
      <diagonal/>
    </border>
    <border>
      <left/>
      <right/>
      <top style="medium">
        <color rgb="FF1A5EA8"/>
      </top>
      <bottom/>
      <diagonal/>
    </border>
    <border>
      <left/>
      <right style="thin">
        <color theme="1"/>
      </right>
      <top style="medium">
        <color rgb="FF1A5EA8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BCC6D8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rgb="FFBCC6D8"/>
      </right>
      <top style="thin">
        <color rgb="FFBCC6D8"/>
      </top>
      <bottom/>
      <diagonal/>
    </border>
    <border>
      <left/>
      <right style="thin">
        <color rgb="FFBCC6D8"/>
      </right>
      <top/>
      <bottom/>
      <diagonal/>
    </border>
    <border>
      <left style="thin">
        <color rgb="FFBCC6D8"/>
      </left>
      <right/>
      <top style="thin">
        <color rgb="FFBCC6D8"/>
      </top>
      <bottom/>
      <diagonal/>
    </border>
    <border>
      <left/>
      <right/>
      <top style="thin">
        <color rgb="FFBCC6D8"/>
      </top>
      <bottom/>
      <diagonal/>
    </border>
    <border>
      <left/>
      <right style="thin">
        <color theme="1"/>
      </right>
      <top style="thin">
        <color rgb="FFBCC6D8"/>
      </top>
      <bottom/>
      <diagonal/>
    </border>
    <border>
      <left style="thin">
        <color theme="0" tint="-0.249977111117893"/>
      </left>
      <right/>
      <top style="thin">
        <color rgb="FFBCC6D8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rgb="FFBCC6D8"/>
      </right>
      <top style="thin">
        <color theme="0" tint="-0.249977111117893"/>
      </top>
      <bottom/>
      <diagonal/>
    </border>
    <border>
      <left style="thin">
        <color rgb="FFBCC6D8"/>
      </left>
      <right/>
      <top/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/>
    <xf numFmtId="49" fontId="4" fillId="0" borderId="1" xfId="0" applyNumberFormat="1" applyFont="1" applyBorder="1" applyAlignment="1">
      <alignment wrapText="1"/>
    </xf>
    <xf numFmtId="14" fontId="4" fillId="0" borderId="1" xfId="0" applyNumberFormat="1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/>
    <xf numFmtId="0" fontId="6" fillId="3" borderId="0" xfId="0" applyFont="1" applyFill="1"/>
    <xf numFmtId="164" fontId="6" fillId="0" borderId="0" xfId="0" applyNumberFormat="1" applyFont="1" applyAlignment="1">
      <alignment horizontal="left" wrapText="1"/>
    </xf>
    <xf numFmtId="0" fontId="2" fillId="0" borderId="0" xfId="0" applyFont="1" applyAlignment="1">
      <alignment wrapText="1"/>
    </xf>
    <xf numFmtId="164" fontId="3" fillId="0" borderId="0" xfId="0" applyNumberFormat="1" applyFont="1" applyAlignment="1">
      <alignment horizontal="left" wrapText="1"/>
    </xf>
    <xf numFmtId="0" fontId="6" fillId="0" borderId="0" xfId="0" applyFont="1"/>
    <xf numFmtId="165" fontId="7" fillId="0" borderId="0" xfId="0" applyNumberFormat="1" applyFont="1"/>
    <xf numFmtId="0" fontId="8" fillId="0" borderId="0" xfId="0" applyFont="1" applyAlignment="1" applyProtection="1">
      <alignment horizontal="left"/>
      <protection hidden="1"/>
    </xf>
    <xf numFmtId="14" fontId="2" fillId="0" borderId="0" xfId="0" applyNumberFormat="1" applyFont="1"/>
    <xf numFmtId="0" fontId="7" fillId="0" borderId="0" xfId="0" applyFont="1" applyAlignment="1">
      <alignment horizontal="right"/>
    </xf>
    <xf numFmtId="10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5" fontId="9" fillId="0" borderId="0" xfId="0" applyNumberFormat="1" applyFont="1"/>
    <xf numFmtId="0" fontId="0" fillId="0" borderId="0" xfId="0" applyAlignment="1">
      <alignment horizontal="right"/>
    </xf>
    <xf numFmtId="10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0" fillId="0" borderId="0" xfId="0" applyAlignment="1">
      <alignment horizontal="center" vertical="center"/>
    </xf>
    <xf numFmtId="0" fontId="10" fillId="4" borderId="6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9" xfId="0" applyFont="1" applyFill="1" applyBorder="1" applyAlignment="1">
      <alignment horizontal="left"/>
    </xf>
    <xf numFmtId="0" fontId="6" fillId="5" borderId="10" xfId="0" applyFont="1" applyFill="1" applyBorder="1"/>
    <xf numFmtId="14" fontId="6" fillId="5" borderId="10" xfId="0" applyNumberFormat="1" applyFont="1" applyFill="1" applyBorder="1" applyAlignment="1">
      <alignment horizontal="center"/>
    </xf>
    <xf numFmtId="4" fontId="6" fillId="5" borderId="10" xfId="0" applyNumberFormat="1" applyFont="1" applyFill="1" applyBorder="1"/>
    <xf numFmtId="0" fontId="6" fillId="5" borderId="1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 wrapText="1"/>
    </xf>
    <xf numFmtId="14" fontId="6" fillId="5" borderId="10" xfId="0" applyNumberFormat="1" applyFont="1" applyFill="1" applyBorder="1"/>
    <xf numFmtId="2" fontId="6" fillId="5" borderId="10" xfId="0" applyNumberFormat="1" applyFont="1" applyFill="1" applyBorder="1"/>
    <xf numFmtId="14" fontId="8" fillId="0" borderId="0" xfId="0" applyNumberFormat="1" applyFont="1"/>
    <xf numFmtId="0" fontId="6" fillId="0" borderId="9" xfId="0" applyFont="1" applyBorder="1" applyAlignment="1">
      <alignment horizontal="left"/>
    </xf>
    <xf numFmtId="0" fontId="6" fillId="0" borderId="10" xfId="0" applyFont="1" applyBorder="1"/>
    <xf numFmtId="0" fontId="6" fillId="3" borderId="10" xfId="0" applyFont="1" applyFill="1" applyBorder="1"/>
    <xf numFmtId="14" fontId="6" fillId="0" borderId="10" xfId="0" applyNumberFormat="1" applyFont="1" applyBorder="1" applyAlignment="1">
      <alignment horizontal="center"/>
    </xf>
    <xf numFmtId="4" fontId="6" fillId="0" borderId="10" xfId="0" applyNumberFormat="1" applyFont="1" applyBorder="1"/>
    <xf numFmtId="0" fontId="6" fillId="3" borderId="10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14" fontId="6" fillId="0" borderId="10" xfId="0" applyNumberFormat="1" applyFont="1" applyBorder="1"/>
    <xf numFmtId="2" fontId="6" fillId="0" borderId="10" xfId="0" applyNumberFormat="1" applyFont="1" applyBorder="1"/>
    <xf numFmtId="0" fontId="11" fillId="5" borderId="10" xfId="0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8" fillId="5" borderId="0" xfId="0" applyFont="1" applyFill="1"/>
    <xf numFmtId="14" fontId="6" fillId="0" borderId="10" xfId="0" applyNumberFormat="1" applyFont="1" applyBorder="1" applyAlignment="1" applyProtection="1">
      <alignment horizontal="center"/>
      <protection hidden="1"/>
    </xf>
    <xf numFmtId="4" fontId="6" fillId="0" borderId="10" xfId="0" applyNumberFormat="1" applyFont="1" applyBorder="1" applyProtection="1">
      <protection hidden="1"/>
    </xf>
    <xf numFmtId="0" fontId="11" fillId="3" borderId="10" xfId="0" applyFont="1" applyFill="1" applyBorder="1" applyAlignment="1">
      <alignment horizontal="center"/>
    </xf>
    <xf numFmtId="166" fontId="6" fillId="5" borderId="10" xfId="0" applyNumberFormat="1" applyFont="1" applyFill="1" applyBorder="1"/>
    <xf numFmtId="167" fontId="6" fillId="5" borderId="10" xfId="0" applyNumberFormat="1" applyFont="1" applyFill="1" applyBorder="1"/>
    <xf numFmtId="167" fontId="6" fillId="0" borderId="10" xfId="0" applyNumberFormat="1" applyFont="1" applyBorder="1"/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8" fillId="0" borderId="0" xfId="0" applyFont="1" applyAlignment="1" applyProtection="1">
      <alignment horizontal="center"/>
      <protection hidden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left"/>
    </xf>
    <xf numFmtId="165" fontId="6" fillId="0" borderId="0" xfId="0" applyNumberFormat="1" applyFont="1" applyAlignment="1">
      <alignment horizontal="left" wrapText="1"/>
    </xf>
    <xf numFmtId="165" fontId="3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left"/>
    </xf>
    <xf numFmtId="0" fontId="10" fillId="7" borderId="5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left"/>
    </xf>
    <xf numFmtId="0" fontId="6" fillId="8" borderId="10" xfId="0" applyFont="1" applyFill="1" applyBorder="1"/>
    <xf numFmtId="14" fontId="6" fillId="8" borderId="10" xfId="0" applyNumberFormat="1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166" fontId="6" fillId="8" borderId="10" xfId="0" applyNumberFormat="1" applyFont="1" applyFill="1" applyBorder="1"/>
    <xf numFmtId="0" fontId="2" fillId="8" borderId="10" xfId="0" applyFont="1" applyFill="1" applyBorder="1"/>
    <xf numFmtId="0" fontId="6" fillId="0" borderId="10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166" fontId="6" fillId="0" borderId="10" xfId="0" applyNumberFormat="1" applyFont="1" applyBorder="1"/>
    <xf numFmtId="0" fontId="2" fillId="0" borderId="10" xfId="0" applyFont="1" applyBorder="1"/>
    <xf numFmtId="0" fontId="6" fillId="8" borderId="10" xfId="0" applyFont="1" applyFill="1" applyBorder="1" applyAlignment="1">
      <alignment wrapText="1"/>
    </xf>
    <xf numFmtId="4" fontId="6" fillId="8" borderId="10" xfId="0" applyNumberFormat="1" applyFont="1" applyFill="1" applyBorder="1"/>
    <xf numFmtId="0" fontId="6" fillId="8" borderId="12" xfId="0" applyFont="1" applyFill="1" applyBorder="1" applyAlignment="1">
      <alignment horizontal="left"/>
    </xf>
    <xf numFmtId="0" fontId="6" fillId="8" borderId="12" xfId="0" applyFont="1" applyFill="1" applyBorder="1"/>
    <xf numFmtId="14" fontId="6" fillId="8" borderId="12" xfId="0" applyNumberFormat="1" applyFont="1" applyFill="1" applyBorder="1" applyAlignment="1">
      <alignment horizontal="center"/>
    </xf>
    <xf numFmtId="4" fontId="6" fillId="8" borderId="12" xfId="0" applyNumberFormat="1" applyFont="1" applyFill="1" applyBorder="1"/>
    <xf numFmtId="0" fontId="6" fillId="8" borderId="12" xfId="0" applyFont="1" applyFill="1" applyBorder="1" applyAlignment="1">
      <alignment horizontal="center"/>
    </xf>
    <xf numFmtId="166" fontId="6" fillId="8" borderId="12" xfId="0" applyNumberFormat="1" applyFont="1" applyFill="1" applyBorder="1"/>
    <xf numFmtId="0" fontId="2" fillId="8" borderId="12" xfId="0" applyFont="1" applyFill="1" applyBorder="1"/>
    <xf numFmtId="0" fontId="14" fillId="0" borderId="0" xfId="0" applyFont="1" applyAlignment="1">
      <alignment horizontal="right"/>
    </xf>
    <xf numFmtId="0" fontId="0" fillId="0" borderId="0" xfId="0" applyAlignment="1" applyProtection="1">
      <alignment horizontal="center"/>
      <protection hidden="1"/>
    </xf>
    <xf numFmtId="0" fontId="0" fillId="9" borderId="0" xfId="0" applyFill="1"/>
    <xf numFmtId="0" fontId="0" fillId="9" borderId="13" xfId="0" applyFill="1" applyBorder="1"/>
    <xf numFmtId="0" fontId="0" fillId="10" borderId="14" xfId="0" applyFill="1" applyBorder="1"/>
    <xf numFmtId="0" fontId="0" fillId="10" borderId="15" xfId="0" applyFill="1" applyBorder="1"/>
    <xf numFmtId="0" fontId="15" fillId="9" borderId="16" xfId="0" applyFont="1" applyFill="1" applyBorder="1" applyAlignment="1">
      <alignment vertical="center"/>
    </xf>
    <xf numFmtId="0" fontId="16" fillId="9" borderId="16" xfId="0" applyFont="1" applyFill="1" applyBorder="1" applyAlignment="1">
      <alignment vertical="center"/>
    </xf>
    <xf numFmtId="0" fontId="0" fillId="9" borderId="16" xfId="0" applyFill="1" applyBorder="1"/>
    <xf numFmtId="0" fontId="0" fillId="12" borderId="0" xfId="0" applyFill="1"/>
    <xf numFmtId="0" fontId="0" fillId="12" borderId="17" xfId="0" applyFill="1" applyBorder="1"/>
    <xf numFmtId="0" fontId="0" fillId="9" borderId="16" xfId="0" applyFill="1" applyBorder="1" applyAlignment="1">
      <alignment horizontal="center"/>
    </xf>
    <xf numFmtId="0" fontId="0" fillId="12" borderId="0" xfId="0" applyFill="1" applyAlignment="1">
      <alignment horizontal="center"/>
    </xf>
    <xf numFmtId="49" fontId="21" fillId="12" borderId="0" xfId="0" applyNumberFormat="1" applyFont="1" applyFill="1" applyAlignment="1">
      <alignment horizontal="center" vertical="center"/>
    </xf>
    <xf numFmtId="170" fontId="21" fillId="12" borderId="0" xfId="0" applyNumberFormat="1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21" fillId="12" borderId="17" xfId="0" applyFont="1" applyFill="1" applyBorder="1" applyAlignment="1">
      <alignment horizontal="center" vertical="center"/>
    </xf>
    <xf numFmtId="0" fontId="0" fillId="0" borderId="0" xfId="0" applyProtection="1">
      <protection hidden="1"/>
    </xf>
    <xf numFmtId="172" fontId="21" fillId="12" borderId="0" xfId="0" applyNumberFormat="1" applyFont="1" applyFill="1" applyAlignment="1">
      <alignment horizontal="center" vertical="center"/>
    </xf>
    <xf numFmtId="173" fontId="21" fillId="12" borderId="0" xfId="0" applyNumberFormat="1" applyFont="1" applyFill="1" applyAlignment="1">
      <alignment horizontal="center" vertical="center"/>
    </xf>
    <xf numFmtId="173" fontId="21" fillId="12" borderId="17" xfId="0" applyNumberFormat="1" applyFont="1" applyFill="1" applyBorder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23" fillId="12" borderId="0" xfId="0" applyFont="1" applyFill="1"/>
    <xf numFmtId="0" fontId="24" fillId="17" borderId="0" xfId="0" applyFont="1" applyFill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27" fillId="14" borderId="0" xfId="0" applyFont="1" applyFill="1" applyAlignment="1">
      <alignment horizontal="center" vertical="center"/>
    </xf>
    <xf numFmtId="0" fontId="28" fillId="19" borderId="0" xfId="0" applyFont="1" applyFill="1" applyAlignment="1">
      <alignment horizontal="center" vertical="center"/>
    </xf>
    <xf numFmtId="0" fontId="0" fillId="12" borderId="22" xfId="0" applyFill="1" applyBorder="1"/>
    <xf numFmtId="0" fontId="0" fillId="12" borderId="23" xfId="0" applyFill="1" applyBorder="1"/>
    <xf numFmtId="0" fontId="0" fillId="0" borderId="17" xfId="0" applyBorder="1"/>
    <xf numFmtId="0" fontId="0" fillId="9" borderId="28" xfId="0" applyFill="1" applyBorder="1"/>
    <xf numFmtId="0" fontId="0" fillId="0" borderId="4" xfId="0" applyBorder="1"/>
    <xf numFmtId="0" fontId="0" fillId="16" borderId="0" xfId="0" applyFill="1"/>
    <xf numFmtId="0" fontId="29" fillId="16" borderId="22" xfId="0" applyFont="1" applyFill="1" applyBorder="1" applyAlignment="1">
      <alignment horizontal="left" vertical="center"/>
    </xf>
    <xf numFmtId="0" fontId="35" fillId="16" borderId="22" xfId="0" applyFont="1" applyFill="1" applyBorder="1" applyAlignment="1">
      <alignment horizontal="left" vertical="center"/>
    </xf>
    <xf numFmtId="0" fontId="32" fillId="16" borderId="22" xfId="0" applyFont="1" applyFill="1" applyBorder="1" applyAlignment="1">
      <alignment horizontal="left" vertical="center" wrapText="1"/>
    </xf>
    <xf numFmtId="0" fontId="0" fillId="3" borderId="0" xfId="0" applyFill="1"/>
    <xf numFmtId="0" fontId="29" fillId="3" borderId="22" xfId="0" applyFont="1" applyFill="1" applyBorder="1" applyAlignment="1">
      <alignment horizontal="left" vertical="center"/>
    </xf>
    <xf numFmtId="0" fontId="35" fillId="3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left" vertical="center" wrapText="1"/>
    </xf>
    <xf numFmtId="164" fontId="35" fillId="16" borderId="22" xfId="0" applyNumberFormat="1" applyFont="1" applyFill="1" applyBorder="1" applyAlignment="1">
      <alignment horizontal="left" vertical="center"/>
    </xf>
    <xf numFmtId="165" fontId="35" fillId="3" borderId="22" xfId="0" applyNumberFormat="1" applyFont="1" applyFill="1" applyBorder="1" applyAlignment="1">
      <alignment horizontal="left" vertical="center"/>
    </xf>
    <xf numFmtId="165" fontId="35" fillId="16" borderId="22" xfId="0" applyNumberFormat="1" applyFont="1" applyFill="1" applyBorder="1" applyAlignment="1">
      <alignment horizontal="left" vertical="center"/>
    </xf>
    <xf numFmtId="0" fontId="33" fillId="12" borderId="0" xfId="0" applyFont="1" applyFill="1" applyAlignment="1">
      <alignment horizontal="right"/>
    </xf>
    <xf numFmtId="0" fontId="0" fillId="0" borderId="30" xfId="0" applyBorder="1"/>
    <xf numFmtId="164" fontId="0" fillId="0" borderId="30" xfId="0" applyNumberFormat="1" applyBorder="1"/>
    <xf numFmtId="165" fontId="0" fillId="0" borderId="30" xfId="0" applyNumberFormat="1" applyBorder="1"/>
    <xf numFmtId="174" fontId="0" fillId="0" borderId="30" xfId="0" applyNumberFormat="1" applyBorder="1"/>
    <xf numFmtId="0" fontId="33" fillId="0" borderId="0" xfId="0" applyFont="1" applyAlignment="1">
      <alignment horizontal="right"/>
    </xf>
    <xf numFmtId="0" fontId="0" fillId="23" borderId="0" xfId="0" applyFont="1" applyFill="1" applyAlignment="1">
      <alignment horizontal="center"/>
    </xf>
    <xf numFmtId="0" fontId="0" fillId="23" borderId="36" xfId="0" applyFont="1" applyFill="1" applyBorder="1" applyAlignment="1">
      <alignment horizontal="center"/>
    </xf>
    <xf numFmtId="0" fontId="0" fillId="12" borderId="34" xfId="0" applyFill="1" applyBorder="1"/>
    <xf numFmtId="49" fontId="21" fillId="12" borderId="37" xfId="0" applyNumberFormat="1" applyFont="1" applyFill="1" applyBorder="1" applyAlignment="1">
      <alignment horizontal="center" vertical="center"/>
    </xf>
    <xf numFmtId="49" fontId="21" fillId="12" borderId="35" xfId="0" applyNumberFormat="1" applyFont="1" applyFill="1" applyBorder="1" applyAlignment="1">
      <alignment horizontal="center" vertical="center"/>
    </xf>
    <xf numFmtId="0" fontId="0" fillId="12" borderId="38" xfId="0" applyFill="1" applyBorder="1"/>
    <xf numFmtId="0" fontId="37" fillId="9" borderId="16" xfId="0" applyFont="1" applyFill="1" applyBorder="1"/>
    <xf numFmtId="0" fontId="37" fillId="12" borderId="34" xfId="0" applyFont="1" applyFill="1" applyBorder="1"/>
    <xf numFmtId="0" fontId="37" fillId="12" borderId="0" xfId="0" applyFont="1" applyFill="1"/>
    <xf numFmtId="0" fontId="37" fillId="0" borderId="0" xfId="0" applyFont="1"/>
    <xf numFmtId="168" fontId="47" fillId="11" borderId="17" xfId="0" applyNumberFormat="1" applyFont="1" applyFill="1" applyBorder="1" applyAlignment="1">
      <alignment vertical="center" wrapText="1"/>
    </xf>
    <xf numFmtId="0" fontId="3" fillId="3" borderId="0" xfId="0" applyFont="1" applyFill="1" applyAlignment="1"/>
    <xf numFmtId="0" fontId="6" fillId="3" borderId="0" xfId="0" applyFont="1" applyFill="1" applyAlignment="1"/>
    <xf numFmtId="0" fontId="1" fillId="0" borderId="0" xfId="0" applyFont="1" applyAlignment="1"/>
    <xf numFmtId="0" fontId="3" fillId="0" borderId="0" xfId="0" applyFont="1" applyAlignment="1"/>
    <xf numFmtId="0" fontId="5" fillId="2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right"/>
    </xf>
    <xf numFmtId="0" fontId="33" fillId="0" borderId="29" xfId="0" applyFont="1" applyBorder="1" applyAlignment="1">
      <alignment horizontal="right"/>
    </xf>
    <xf numFmtId="0" fontId="17" fillId="10" borderId="0" xfId="0" applyFont="1" applyFill="1" applyAlignment="1">
      <alignment horizontal="center" vertical="center"/>
    </xf>
    <xf numFmtId="0" fontId="17" fillId="10" borderId="17" xfId="0" applyFont="1" applyFill="1" applyBorder="1" applyAlignment="1">
      <alignment horizontal="center" vertical="center"/>
    </xf>
    <xf numFmtId="0" fontId="36" fillId="22" borderId="0" xfId="0" applyFont="1" applyFill="1" applyAlignment="1">
      <alignment horizontal="center" vertical="center"/>
    </xf>
    <xf numFmtId="0" fontId="36" fillId="22" borderId="17" xfId="0" applyFont="1" applyFill="1" applyBorder="1" applyAlignment="1">
      <alignment horizontal="center" vertical="center"/>
    </xf>
    <xf numFmtId="0" fontId="45" fillId="10" borderId="26" xfId="0" applyFont="1" applyFill="1" applyBorder="1" applyAlignment="1">
      <alignment horizontal="left" vertical="center" indent="1"/>
    </xf>
    <xf numFmtId="169" fontId="45" fillId="10" borderId="26" xfId="0" applyNumberFormat="1" applyFont="1" applyFill="1" applyBorder="1" applyAlignment="1">
      <alignment horizontal="center" vertical="center"/>
    </xf>
    <xf numFmtId="171" fontId="46" fillId="10" borderId="26" xfId="0" applyNumberFormat="1" applyFont="1" applyFill="1" applyBorder="1" applyAlignment="1">
      <alignment horizontal="center" vertical="center"/>
    </xf>
    <xf numFmtId="170" fontId="45" fillId="10" borderId="26" xfId="0" applyNumberFormat="1" applyFont="1" applyFill="1" applyBorder="1" applyAlignment="1">
      <alignment horizontal="center" vertical="center"/>
    </xf>
    <xf numFmtId="170" fontId="45" fillId="10" borderId="27" xfId="0" applyNumberFormat="1" applyFont="1" applyFill="1" applyBorder="1" applyAlignment="1">
      <alignment horizontal="center" vertical="center"/>
    </xf>
    <xf numFmtId="0" fontId="29" fillId="3" borderId="24" xfId="0" applyFont="1" applyFill="1" applyBorder="1" applyAlignment="1">
      <alignment horizontal="left" vertical="center" indent="1"/>
    </xf>
    <xf numFmtId="169" fontId="30" fillId="3" borderId="24" xfId="0" applyNumberFormat="1" applyFont="1" applyFill="1" applyBorder="1" applyAlignment="1">
      <alignment horizontal="center" vertical="center"/>
    </xf>
    <xf numFmtId="169" fontId="31" fillId="3" borderId="24" xfId="0" applyNumberFormat="1" applyFont="1" applyFill="1" applyBorder="1" applyAlignment="1">
      <alignment horizontal="center" vertical="center"/>
    </xf>
    <xf numFmtId="171" fontId="29" fillId="3" borderId="24" xfId="0" applyNumberFormat="1" applyFont="1" applyFill="1" applyBorder="1" applyAlignment="1">
      <alignment horizontal="center" vertical="center"/>
    </xf>
    <xf numFmtId="170" fontId="32" fillId="3" borderId="24" xfId="0" applyNumberFormat="1" applyFont="1" applyFill="1" applyBorder="1" applyAlignment="1">
      <alignment horizontal="center" vertical="center"/>
    </xf>
    <xf numFmtId="170" fontId="32" fillId="3" borderId="25" xfId="0" applyNumberFormat="1" applyFont="1" applyFill="1" applyBorder="1" applyAlignment="1">
      <alignment horizontal="center" vertical="center"/>
    </xf>
    <xf numFmtId="0" fontId="29" fillId="24" borderId="24" xfId="0" applyFont="1" applyFill="1" applyBorder="1" applyAlignment="1">
      <alignment horizontal="left" vertical="center" indent="1"/>
    </xf>
    <xf numFmtId="169" fontId="30" fillId="24" borderId="24" xfId="0" applyNumberFormat="1" applyFont="1" applyFill="1" applyBorder="1" applyAlignment="1">
      <alignment horizontal="center" vertical="center"/>
    </xf>
    <xf numFmtId="169" fontId="31" fillId="24" borderId="24" xfId="0" applyNumberFormat="1" applyFont="1" applyFill="1" applyBorder="1" applyAlignment="1">
      <alignment horizontal="center" vertical="center"/>
    </xf>
    <xf numFmtId="171" fontId="29" fillId="24" borderId="24" xfId="0" applyNumberFormat="1" applyFont="1" applyFill="1" applyBorder="1" applyAlignment="1">
      <alignment horizontal="center" vertical="center"/>
    </xf>
    <xf numFmtId="170" fontId="32" fillId="24" borderId="24" xfId="0" applyNumberFormat="1" applyFont="1" applyFill="1" applyBorder="1" applyAlignment="1">
      <alignment horizontal="center" vertical="center"/>
    </xf>
    <xf numFmtId="170" fontId="32" fillId="24" borderId="25" xfId="0" applyNumberFormat="1" applyFont="1" applyFill="1" applyBorder="1" applyAlignment="1">
      <alignment horizontal="center" vertical="center"/>
    </xf>
    <xf numFmtId="0" fontId="26" fillId="17" borderId="0" xfId="0" applyFont="1" applyFill="1" applyAlignment="1">
      <alignment horizontal="left" vertical="center" indent="1"/>
    </xf>
    <xf numFmtId="0" fontId="27" fillId="14" borderId="0" xfId="0" applyFont="1" applyFill="1" applyAlignment="1">
      <alignment horizontal="left" vertical="center" indent="1"/>
    </xf>
    <xf numFmtId="0" fontId="28" fillId="19" borderId="0" xfId="0" applyFont="1" applyFill="1" applyAlignment="1">
      <alignment horizontal="left" vertical="center" indent="1"/>
    </xf>
    <xf numFmtId="0" fontId="28" fillId="19" borderId="17" xfId="0" applyFont="1" applyFill="1" applyBorder="1" applyAlignment="1">
      <alignment horizontal="left" vertical="center" indent="1"/>
    </xf>
    <xf numFmtId="0" fontId="18" fillId="11" borderId="0" xfId="0" applyFont="1" applyFill="1" applyAlignment="1">
      <alignment horizontal="center" vertical="center"/>
    </xf>
    <xf numFmtId="0" fontId="18" fillId="11" borderId="17" xfId="0" applyFont="1" applyFill="1" applyBorder="1" applyAlignment="1">
      <alignment horizontal="center" vertical="center"/>
    </xf>
    <xf numFmtId="172" fontId="21" fillId="12" borderId="20" xfId="0" applyNumberFormat="1" applyFont="1" applyFill="1" applyBorder="1" applyAlignment="1">
      <alignment horizontal="center" vertical="center"/>
    </xf>
    <xf numFmtId="49" fontId="21" fillId="12" borderId="20" xfId="0" applyNumberFormat="1" applyFont="1" applyFill="1" applyBorder="1" applyAlignment="1">
      <alignment horizontal="center" vertical="center"/>
    </xf>
    <xf numFmtId="173" fontId="21" fillId="12" borderId="20" xfId="0" applyNumberFormat="1" applyFont="1" applyFill="1" applyBorder="1" applyAlignment="1">
      <alignment horizontal="center" vertical="center"/>
    </xf>
    <xf numFmtId="173" fontId="21" fillId="12" borderId="21" xfId="0" applyNumberFormat="1" applyFont="1" applyFill="1" applyBorder="1" applyAlignment="1">
      <alignment horizontal="center" vertical="center"/>
    </xf>
    <xf numFmtId="0" fontId="17" fillId="10" borderId="22" xfId="0" applyFont="1" applyFill="1" applyBorder="1" applyAlignment="1">
      <alignment horizontal="center" vertical="center"/>
    </xf>
    <xf numFmtId="0" fontId="17" fillId="10" borderId="23" xfId="0" applyFont="1" applyFill="1" applyBorder="1" applyAlignment="1">
      <alignment horizontal="center" vertical="center"/>
    </xf>
    <xf numFmtId="0" fontId="22" fillId="15" borderId="0" xfId="0" applyFont="1" applyFill="1" applyAlignment="1">
      <alignment horizontal="left" vertical="center" indent="1"/>
    </xf>
    <xf numFmtId="0" fontId="24" fillId="17" borderId="0" xfId="0" applyFont="1" applyFill="1" applyAlignment="1">
      <alignment horizontal="left" vertical="center" indent="1"/>
    </xf>
    <xf numFmtId="0" fontId="25" fillId="18" borderId="0" xfId="0" applyFont="1" applyFill="1" applyAlignment="1">
      <alignment horizontal="left" vertical="center" indent="1"/>
    </xf>
    <xf numFmtId="0" fontId="25" fillId="18" borderId="17" xfId="0" applyFont="1" applyFill="1" applyBorder="1" applyAlignment="1">
      <alignment horizontal="left" vertical="center" indent="1"/>
    </xf>
    <xf numFmtId="171" fontId="19" fillId="16" borderId="20" xfId="0" applyNumberFormat="1" applyFont="1" applyFill="1" applyBorder="1" applyAlignment="1">
      <alignment horizontal="center" vertical="center"/>
    </xf>
    <xf numFmtId="170" fontId="42" fillId="18" borderId="20" xfId="0" applyNumberFormat="1" applyFont="1" applyFill="1" applyBorder="1" applyAlignment="1">
      <alignment horizontal="center" vertical="center"/>
    </xf>
    <xf numFmtId="169" fontId="43" fillId="19" borderId="20" xfId="0" applyNumberFormat="1" applyFont="1" applyFill="1" applyBorder="1" applyAlignment="1">
      <alignment horizontal="center" vertical="center"/>
    </xf>
    <xf numFmtId="169" fontId="43" fillId="19" borderId="21" xfId="0" applyNumberFormat="1" applyFont="1" applyFill="1" applyBorder="1" applyAlignment="1">
      <alignment horizontal="center" vertical="center"/>
    </xf>
    <xf numFmtId="0" fontId="20" fillId="16" borderId="20" xfId="0" applyFont="1" applyFill="1" applyBorder="1" applyAlignment="1">
      <alignment horizontal="left" vertical="center" indent="1"/>
    </xf>
    <xf numFmtId="0" fontId="20" fillId="16" borderId="21" xfId="0" applyFont="1" applyFill="1" applyBorder="1" applyAlignment="1">
      <alignment horizontal="left" vertical="center" indent="1"/>
    </xf>
    <xf numFmtId="10" fontId="21" fillId="12" borderId="20" xfId="0" applyNumberFormat="1" applyFont="1" applyFill="1" applyBorder="1" applyAlignment="1">
      <alignment horizontal="center" vertical="center"/>
    </xf>
    <xf numFmtId="10" fontId="21" fillId="12" borderId="21" xfId="0" applyNumberFormat="1" applyFont="1" applyFill="1" applyBorder="1" applyAlignment="1">
      <alignment horizontal="center" vertical="center"/>
    </xf>
    <xf numFmtId="0" fontId="44" fillId="25" borderId="18" xfId="0" applyFont="1" applyFill="1" applyBorder="1" applyAlignment="1">
      <alignment horizontal="center" vertical="center" indent="1"/>
    </xf>
    <xf numFmtId="0" fontId="36" fillId="22" borderId="18" xfId="0" applyFont="1" applyFill="1" applyBorder="1" applyAlignment="1">
      <alignment horizontal="center" vertical="center" indent="1"/>
    </xf>
    <xf numFmtId="0" fontId="36" fillId="22" borderId="19" xfId="0" applyFont="1" applyFill="1" applyBorder="1" applyAlignment="1">
      <alignment horizontal="center" vertical="center" indent="1"/>
    </xf>
    <xf numFmtId="169" fontId="41" fillId="17" borderId="20" xfId="0" applyNumberFormat="1" applyFont="1" applyFill="1" applyBorder="1" applyAlignment="1">
      <alignment horizontal="center" vertical="center"/>
    </xf>
    <xf numFmtId="169" fontId="40" fillId="15" borderId="20" xfId="0" applyNumberFormat="1" applyFont="1" applyFill="1" applyBorder="1" applyAlignment="1">
      <alignment horizontal="center" vertical="center"/>
    </xf>
    <xf numFmtId="169" fontId="40" fillId="15" borderId="21" xfId="0" applyNumberFormat="1" applyFont="1" applyFill="1" applyBorder="1" applyAlignment="1">
      <alignment horizontal="center" vertical="center"/>
    </xf>
    <xf numFmtId="49" fontId="21" fillId="12" borderId="32" xfId="0" applyNumberFormat="1" applyFont="1" applyFill="1" applyBorder="1" applyAlignment="1">
      <alignment horizontal="center" vertical="center"/>
    </xf>
    <xf numFmtId="170" fontId="21" fillId="12" borderId="40" xfId="0" applyNumberFormat="1" applyFont="1" applyFill="1" applyBorder="1" applyAlignment="1">
      <alignment horizontal="center" vertical="center"/>
    </xf>
    <xf numFmtId="170" fontId="21" fillId="12" borderId="20" xfId="0" applyNumberFormat="1" applyFont="1" applyFill="1" applyBorder="1" applyAlignment="1">
      <alignment horizontal="center" vertical="center"/>
    </xf>
    <xf numFmtId="0" fontId="17" fillId="21" borderId="0" xfId="0" applyFont="1" applyFill="1" applyAlignment="1">
      <alignment horizontal="center" vertical="center"/>
    </xf>
    <xf numFmtId="0" fontId="17" fillId="21" borderId="17" xfId="0" applyFont="1" applyFill="1" applyBorder="1" applyAlignment="1">
      <alignment horizontal="center" vertical="center"/>
    </xf>
    <xf numFmtId="0" fontId="44" fillId="22" borderId="18" xfId="0" applyFont="1" applyFill="1" applyBorder="1" applyAlignment="1">
      <alignment horizontal="center" vertical="center" indent="1"/>
    </xf>
    <xf numFmtId="169" fontId="38" fillId="13" borderId="33" xfId="0" applyNumberFormat="1" applyFont="1" applyFill="1" applyBorder="1" applyAlignment="1">
      <alignment horizontal="center" vertical="center"/>
    </xf>
    <xf numFmtId="169" fontId="38" fillId="13" borderId="0" xfId="0" applyNumberFormat="1" applyFont="1" applyFill="1" applyBorder="1" applyAlignment="1">
      <alignment horizontal="center" vertical="center"/>
    </xf>
    <xf numFmtId="169" fontId="38" fillId="13" borderId="40" xfId="0" applyNumberFormat="1" applyFont="1" applyFill="1" applyBorder="1" applyAlignment="1">
      <alignment horizontal="center" vertical="center"/>
    </xf>
    <xf numFmtId="169" fontId="39" fillId="14" borderId="33" xfId="0" applyNumberFormat="1" applyFont="1" applyFill="1" applyBorder="1" applyAlignment="1">
      <alignment horizontal="center" vertical="center"/>
    </xf>
    <xf numFmtId="169" fontId="39" fillId="14" borderId="0" xfId="0" applyNumberFormat="1" applyFont="1" applyFill="1" applyBorder="1" applyAlignment="1">
      <alignment horizontal="center" vertical="center"/>
    </xf>
    <xf numFmtId="169" fontId="39" fillId="14" borderId="40" xfId="0" applyNumberFormat="1" applyFont="1" applyFill="1" applyBorder="1" applyAlignment="1">
      <alignment horizontal="center" vertical="center"/>
    </xf>
    <xf numFmtId="169" fontId="40" fillId="15" borderId="47" xfId="0" applyNumberFormat="1" applyFont="1" applyFill="1" applyBorder="1" applyAlignment="1">
      <alignment horizontal="center" vertical="center"/>
    </xf>
    <xf numFmtId="169" fontId="40" fillId="15" borderId="0" xfId="0" applyNumberFormat="1" applyFont="1" applyFill="1" applyBorder="1" applyAlignment="1">
      <alignment horizontal="center" vertical="center"/>
    </xf>
    <xf numFmtId="169" fontId="40" fillId="15" borderId="17" xfId="0" applyNumberFormat="1" applyFont="1" applyFill="1" applyBorder="1" applyAlignment="1">
      <alignment horizontal="center" vertical="center"/>
    </xf>
    <xf numFmtId="0" fontId="20" fillId="16" borderId="32" xfId="0" applyFont="1" applyFill="1" applyBorder="1" applyAlignment="1">
      <alignment horizontal="left" vertical="center" indent="1"/>
    </xf>
    <xf numFmtId="0" fontId="20" fillId="16" borderId="40" xfId="0" applyFont="1" applyFill="1" applyBorder="1" applyAlignment="1">
      <alignment horizontal="left" vertical="center" indent="1"/>
    </xf>
    <xf numFmtId="0" fontId="15" fillId="10" borderId="0" xfId="0" applyFont="1" applyFill="1" applyAlignment="1">
      <alignment horizontal="center" vertical="center"/>
    </xf>
    <xf numFmtId="0" fontId="15" fillId="10" borderId="17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36" fillId="20" borderId="45" xfId="0" applyFont="1" applyFill="1" applyBorder="1" applyAlignment="1">
      <alignment horizontal="center" vertical="center" indent="1"/>
    </xf>
    <xf numFmtId="0" fontId="36" fillId="20" borderId="31" xfId="0" applyFont="1" applyFill="1" applyBorder="1" applyAlignment="1">
      <alignment horizontal="center" vertical="center" indent="1"/>
    </xf>
    <xf numFmtId="0" fontId="36" fillId="20" borderId="46" xfId="0" applyFont="1" applyFill="1" applyBorder="1" applyAlignment="1">
      <alignment horizontal="center" vertical="center" indent="1"/>
    </xf>
    <xf numFmtId="0" fontId="44" fillId="20" borderId="44" xfId="0" applyFont="1" applyFill="1" applyBorder="1" applyAlignment="1">
      <alignment horizontal="center" vertical="center" indent="1"/>
    </xf>
    <xf numFmtId="0" fontId="44" fillId="20" borderId="42" xfId="0" applyFont="1" applyFill="1" applyBorder="1" applyAlignment="1">
      <alignment horizontal="center" vertical="center" indent="1"/>
    </xf>
    <xf numFmtId="0" fontId="44" fillId="20" borderId="39" xfId="0" applyFont="1" applyFill="1" applyBorder="1" applyAlignment="1">
      <alignment horizontal="center" vertical="center" indent="1"/>
    </xf>
    <xf numFmtId="0" fontId="36" fillId="20" borderId="41" xfId="0" applyFont="1" applyFill="1" applyBorder="1" applyAlignment="1">
      <alignment horizontal="center" vertical="center" indent="1"/>
    </xf>
    <xf numFmtId="0" fontId="36" fillId="20" borderId="42" xfId="0" applyFont="1" applyFill="1" applyBorder="1" applyAlignment="1">
      <alignment horizontal="center" vertical="center" indent="1"/>
    </xf>
    <xf numFmtId="0" fontId="36" fillId="20" borderId="43" xfId="0" applyFont="1" applyFill="1" applyBorder="1" applyAlignment="1">
      <alignment horizontal="center" vertical="center" indent="1"/>
    </xf>
    <xf numFmtId="0" fontId="34" fillId="10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indent="2"/>
    </xf>
  </cellXfs>
  <cellStyles count="1">
    <cellStyle name="Normal" xfId="0" builtinId="0"/>
  </cellStyles>
  <dxfs count="6">
    <dxf>
      <font>
        <b/>
        <color rgb="FF0815CC"/>
      </font>
    </dxf>
    <dxf>
      <font>
        <b/>
        <color indexed="2"/>
      </font>
    </dxf>
    <dxf>
      <font>
        <b/>
      </font>
    </dxf>
    <dxf>
      <font>
        <b/>
        <color rgb="FF0430BF"/>
      </font>
    </dxf>
    <dxf>
      <font>
        <b/>
        <color indexed="2"/>
      </font>
      <fill>
        <patternFill patternType="solid">
          <fgColor rgb="FFDAE9F8"/>
          <bgColor rgb="FFDAE9F8"/>
        </patternFill>
      </fill>
    </dxf>
    <dxf>
      <font>
        <b/>
      </font>
    </dxf>
  </dxfs>
  <tableStyles count="0" defaultTableStyle="TableStyleMedium2" defaultPivotStyle="PivotStyleLight16"/>
  <colors>
    <mruColors>
      <color rgb="FFC039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Receitas por Status</a:t>
            </a:r>
            <a:endParaRPr lang="en-US"/>
          </a:p>
        </c:rich>
      </c:tx>
      <c:overlay val="0"/>
      <c:spPr>
        <a:prstGeom prst="rect">
          <a:avLst/>
        </a:prstGeom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21"/>
          <c:y val="0.15162999999999999"/>
          <c:w val="0.63358999999999999"/>
          <c:h val="0.68093000000000004"/>
        </c:manualLayout>
      </c:layout>
      <c:pieChart>
        <c:varyColors val="1"/>
        <c:ser>
          <c:idx val="0"/>
          <c:order val="0"/>
          <c:tx>
            <c:strRef>
              <c:f>_DadosAux!H1</c:f>
              <c:strCache>
                <c:ptCount val="1"/>
                <c:pt idx="0">
                  <c:v>Valor</c:v>
                </c:pt>
              </c:strCache>
            </c:strRef>
          </c:tx>
          <c:spPr>
            <a:prstGeom prst="rect">
              <a:avLst/>
            </a:prstGeom>
            <a:solidFill>
              <a:srgbClr val="145F82"/>
            </a:solidFill>
            <a:ln w="12600">
              <a:solidFill>
                <a:srgbClr val="FFFFFF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0E7-4088-9DA8-634B72E37477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rgbClr val="A6A6A6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0E7-4088-9DA8-634B72E37477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rgbClr val="C0392B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0E7-4088-9DA8-634B72E37477}"/>
              </c:ext>
            </c:extLst>
          </c:dPt>
          <c:dLbls>
            <c:dLbl>
              <c:idx val="0"/>
              <c:layout>
                <c:manualLayout>
                  <c:x val="-1.6039999999999999E-2"/>
                  <c:y val="9.4820000000000002E-2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1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 b="1"/>
                      <a:t> 42%</a:t>
                    </a: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0E7-4088-9DA8-634B72E37477}"/>
                </c:ext>
              </c:extLst>
            </c:dLbl>
            <c:dLbl>
              <c:idx val="1"/>
              <c:layout>
                <c:manualLayout>
                  <c:x val="-6.4170000000000005E-2"/>
                  <c:y val="-7.1830000000000005E-2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1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 b="1"/>
                      <a:t>29%</a:t>
                    </a: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0E7-4088-9DA8-634B72E37477}"/>
                </c:ext>
              </c:extLst>
            </c:dLbl>
            <c:dLbl>
              <c:idx val="2"/>
              <c:layout>
                <c:manualLayout>
                  <c:x val="4.0099999999999997E-2"/>
                  <c:y val="5.7400000000000003E-3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1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 b="1"/>
                      <a:t>29%</a:t>
                    </a: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0E7-4088-9DA8-634B72E374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0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_DadosAux!$G$2:$G$4</c:f>
              <c:strCache>
                <c:ptCount val="3"/>
                <c:pt idx="0">
                  <c:v>Recebido</c:v>
                </c:pt>
                <c:pt idx="1">
                  <c:v>Pendente</c:v>
                </c:pt>
                <c:pt idx="2">
                  <c:v>Atrasado</c:v>
                </c:pt>
              </c:strCache>
            </c:strRef>
          </c:cat>
          <c:val>
            <c:numRef>
              <c:f>_DadosAux!$H$2:$H$4</c:f>
              <c:numCache>
                <c:formatCode>"R$ "#,##0.00;[Red]"-R$ "#,##0.00</c:formatCode>
                <c:ptCount val="3"/>
                <c:pt idx="0" formatCode="_-[$R$-416]\ * #,##0.00_-;\-[$R$-416]\ * #,##0.00_-;_-[$R$-416]\ * \-??_-;_-@_-">
                  <c:v>12693.550000000001</c:v>
                </c:pt>
                <c:pt idx="1">
                  <c:v>2896.15</c:v>
                </c:pt>
                <c:pt idx="2">
                  <c:v>14647.509999999998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E7-4088-9DA8-634B72E37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prstGeom prst="rect">
          <a:avLst/>
        </a:prstGeom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7.4859999999999996E-2"/>
          <c:y val="0.92240999999999995"/>
          <c:w val="0.80213000000000001"/>
          <c:h val="6.6059999999999994E-2"/>
        </c:manualLayout>
      </c:layout>
      <c:overlay val="0"/>
      <c:spPr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95249" y="9467849"/>
      <a:ext cx="3800474" cy="331470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Despesas por Status</a:t>
            </a:r>
            <a:endParaRPr lang="en-US"/>
          </a:p>
        </c:rich>
      </c:tx>
      <c:overlay val="0"/>
      <c:spPr>
        <a:prstGeom prst="rect">
          <a:avLst/>
        </a:prstGeom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528"/>
          <c:y val="0.14871000000000001"/>
          <c:w val="0.66752999999999996"/>
          <c:h val="0.72699000000000003"/>
        </c:manualLayout>
      </c:layout>
      <c:pieChart>
        <c:varyColors val="1"/>
        <c:ser>
          <c:idx val="0"/>
          <c:order val="0"/>
          <c:tx>
            <c:strRef>
              <c:f>_DadosAux!K1</c:f>
              <c:strCache>
                <c:ptCount val="1"/>
                <c:pt idx="0">
                  <c:v>Valor</c:v>
                </c:pt>
              </c:strCache>
            </c:strRef>
          </c:tx>
          <c:spPr>
            <a:prstGeom prst="rect">
              <a:avLst/>
            </a:prstGeom>
            <a:solidFill>
              <a:srgbClr val="145F82"/>
            </a:solidFill>
            <a:ln w="12600">
              <a:solidFill>
                <a:srgbClr val="FFFFFF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A15-4483-A750-5AA0593522BB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rgbClr val="A6A6A6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A15-4483-A750-5AA0593522BB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rgbClr val="C0392B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A15-4483-A750-5AA0593522BB}"/>
              </c:ext>
            </c:extLst>
          </c:dPt>
          <c:dLbls>
            <c:dLbl>
              <c:idx val="0"/>
              <c:layout>
                <c:manualLayout>
                  <c:x val="1.3100000000000001E-2"/>
                  <c:y val="-9.7699999999999995E-2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1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 b="1"/>
                      <a:t> 74%</a:t>
                    </a: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A15-4483-A750-5AA0593522BB}"/>
                </c:ext>
              </c:extLst>
            </c:dLbl>
            <c:dLbl>
              <c:idx val="1"/>
              <c:layout>
                <c:manualLayout>
                  <c:x val="4.5569999999999999E-2"/>
                  <c:y val="-2.8700000000000002E-3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1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 b="1"/>
                      <a:t>  19%</a:t>
                    </a: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A15-4483-A750-5AA0593522BB}"/>
                </c:ext>
              </c:extLst>
            </c:dLbl>
            <c:dLbl>
              <c:idx val="2"/>
              <c:layout>
                <c:manualLayout>
                  <c:x val="0"/>
                  <c:y val="1.436E-2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1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 b="1"/>
                      <a:t>  8%</a:t>
                    </a: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A15-4483-A750-5AA0593522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0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_DadosAux!$J$2:$J$4</c:f>
              <c:strCache>
                <c:ptCount val="3"/>
                <c:pt idx="0">
                  <c:v>Pago</c:v>
                </c:pt>
                <c:pt idx="1">
                  <c:v>Em Aberto</c:v>
                </c:pt>
                <c:pt idx="2">
                  <c:v>Atrasado</c:v>
                </c:pt>
              </c:strCache>
            </c:strRef>
          </c:cat>
          <c:val>
            <c:numRef>
              <c:f>_DadosAux!$K$2:$K$4</c:f>
              <c:numCache>
                <c:formatCode>_-[$R$-416]\ * #,##0.00_-;\-[$R$-416]\ * #,##0.00_-;_-[$R$-416]\ * \-??_-;_-@_-</c:formatCode>
                <c:ptCount val="3"/>
                <c:pt idx="0">
                  <c:v>123325.19</c:v>
                </c:pt>
                <c:pt idx="1">
                  <c:v>31823.43</c:v>
                </c:pt>
                <c:pt idx="2">
                  <c:v>12590.75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15-4483-A750-5AA059352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prstGeom prst="rect">
          <a:avLst/>
        </a:prstGeom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"/>
          <c:y val="0.94540000000000002"/>
          <c:w val="1"/>
          <c:h val="5.459E-2"/>
        </c:manualLayout>
      </c:layout>
      <c:overlay val="0"/>
      <c:spPr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3800474" y="9467849"/>
      <a:ext cx="3609973" cy="331470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Despesas por Categoria (R$)</a:t>
            </a:r>
            <a:endParaRPr lang="en-US"/>
          </a:p>
        </c:rich>
      </c:tx>
      <c:overlay val="0"/>
      <c:spPr>
        <a:prstGeom prst="rect">
          <a:avLst/>
        </a:prstGeom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502"/>
          <c:y val="0.13664000000000001"/>
          <c:w val="0.63087000000000004"/>
          <c:h val="0.700370000000000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_DadosAux!E1</c:f>
              <c:strCache>
                <c:ptCount val="1"/>
                <c:pt idx="0">
                  <c:v>Valor</c:v>
                </c:pt>
              </c:strCache>
            </c:strRef>
          </c:tx>
          <c:spPr>
            <a:prstGeom prst="rect">
              <a:avLst/>
            </a:prstGeom>
            <a:solidFill>
              <a:srgbClr val="0F2D5E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prstGeom prst="rect">
                <a:avLst/>
              </a:prstGeom>
              <a:solidFill>
                <a:srgbClr val="C0392B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1E5-4EEA-A95C-F9E220022AB1}"/>
              </c:ext>
            </c:extLst>
          </c:dPt>
          <c:dLbls>
            <c:dLbl>
              <c:idx val="0"/>
              <c:layout>
                <c:manualLayout>
                  <c:x val="4.2410000000000003E-2"/>
                  <c:y val="0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/>
                      <a:t>108.688,81</a:t>
                    </a:r>
                  </a:p>
                </c:rich>
              </c:tx>
              <c:spPr/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1E5-4EEA-A95C-F9E220022AB1}"/>
                </c:ext>
              </c:extLst>
            </c:dLbl>
            <c:dLbl>
              <c:idx val="1"/>
              <c:layout>
                <c:manualLayout>
                  <c:x val="4.2410000000000003E-2"/>
                  <c:y val="-2.64E-3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/>
                      <a:t>4.7154,02</a:t>
                    </a:r>
                  </a:p>
                </c:rich>
              </c:tx>
              <c:spPr/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1E5-4EEA-A95C-F9E220022AB1}"/>
                </c:ext>
              </c:extLst>
            </c:dLbl>
            <c:dLbl>
              <c:idx val="2"/>
              <c:layout>
                <c:manualLayout>
                  <c:x val="4.9279999999999997E-2"/>
                  <c:y val="5.2900000000000004E-3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/>
                      <a:t> 9.050,59</a:t>
                    </a:r>
                  </a:p>
                </c:rich>
              </c:tx>
              <c:spPr/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1E5-4EEA-A95C-F9E220022AB1}"/>
                </c:ext>
              </c:extLst>
            </c:dLbl>
            <c:dLbl>
              <c:idx val="3"/>
              <c:layout>
                <c:manualLayout>
                  <c:x val="4.2399999999999998E-3"/>
                  <c:y val="0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/>
                      <a:t>  2.899,89</a:t>
                    </a:r>
                  </a:p>
                </c:rich>
              </c:tx>
              <c:spPr/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1E5-4EEA-A95C-F9E220022A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_DadosAux!$D$2:$D$5</c:f>
              <c:strCache>
                <c:ptCount val="4"/>
                <c:pt idx="0">
                  <c:v>Operacional</c:v>
                </c:pt>
                <c:pt idx="1">
                  <c:v>Financeiro</c:v>
                </c:pt>
                <c:pt idx="2">
                  <c:v>Administrativo</c:v>
                </c:pt>
                <c:pt idx="3">
                  <c:v>Investimento</c:v>
                </c:pt>
              </c:strCache>
            </c:strRef>
          </c:cat>
          <c:val>
            <c:numRef>
              <c:f>_DadosAux!$E$2:$E$5</c:f>
              <c:numCache>
                <c:formatCode>General</c:formatCode>
                <c:ptCount val="4"/>
                <c:pt idx="0">
                  <c:v>108688.81</c:v>
                </c:pt>
                <c:pt idx="1">
                  <c:v>47154.02</c:v>
                </c:pt>
                <c:pt idx="2">
                  <c:v>9050.59</c:v>
                </c:pt>
                <c:pt idx="3">
                  <c:v>2899.89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E5-4EEA-A95C-F9E220022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58459"/>
        <c:axId val="37710587"/>
      </c:barChart>
      <c:catAx>
        <c:axId val="312584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prstGeom prst="rect">
            <a:avLst/>
          </a:prstGeom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7710587"/>
        <c:crosses val="autoZero"/>
        <c:auto val="1"/>
        <c:lblAlgn val="ctr"/>
        <c:lblOffset val="100"/>
        <c:noMultiLvlLbl val="0"/>
      </c:catAx>
      <c:valAx>
        <c:axId val="37710587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1260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prstGeom prst="rect">
            <a:avLst/>
          </a:prstGeom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1258459"/>
        <c:crosses val="autoZero"/>
        <c:crossBetween val="between"/>
      </c:valAx>
      <c:spPr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>
    <a:xfrm>
      <a:off x="7515225" y="9467849"/>
      <a:ext cx="3571874" cy="331470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Receita vs Despesa</a:t>
            </a:r>
            <a:endParaRPr lang="en-US"/>
          </a:p>
        </c:rich>
      </c:tx>
      <c:layout>
        <c:manualLayout>
          <c:xMode val="edge"/>
          <c:yMode val="edge"/>
          <c:x val="0.26010789777873461"/>
          <c:y val="2.0744246081387214E-2"/>
        </c:manualLayout>
      </c:layout>
      <c:overlay val="0"/>
      <c:spPr>
        <a:prstGeom prst="rect">
          <a:avLst/>
        </a:prstGeom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04"/>
          <c:y val="0.19968"/>
          <c:w val="0.68054000000000003"/>
          <c:h val="0.707520000000000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_DadosAux!N1</c:f>
              <c:strCache>
                <c:ptCount val="1"/>
                <c:pt idx="0">
                  <c:v>Receita</c:v>
                </c:pt>
              </c:strCache>
            </c:strRef>
          </c:tx>
          <c:spPr>
            <a:prstGeom prst="rect">
              <a:avLst/>
            </a:prstGeom>
            <a:solidFill>
              <a:srgbClr val="1A5EA8"/>
            </a:solidFill>
            <a:ln w="12600">
              <a:solidFill>
                <a:srgbClr val="FFFFFF"/>
              </a:solidFill>
              <a:round/>
            </a:ln>
          </c:spPr>
          <c:invertIfNegative val="0"/>
          <c:cat>
            <c:strRef>
              <c:f>_DadosAux!$M$2:$M$4</c:f>
              <c:strCache>
                <c:ptCount val="3"/>
                <c:pt idx="0">
                  <c:v>Bruto</c:v>
                </c:pt>
                <c:pt idx="1">
                  <c:v>Realizado</c:v>
                </c:pt>
                <c:pt idx="2">
                  <c:v>Em Risco</c:v>
                </c:pt>
              </c:strCache>
            </c:strRef>
          </c:cat>
          <c:val>
            <c:numRef>
              <c:f>_DadosAux!$N$2:$N$4</c:f>
              <c:numCache>
                <c:formatCode>_-[$R$-416]\ * #,##0.00_-;\-[$R$-416]\ * #,##0.00_-;_-[$R$-416]\ * \-??_-;_-@_-</c:formatCode>
                <c:ptCount val="3"/>
                <c:pt idx="0" formatCode="&quot;R$ &quot;#,##0.00;[Red]&quot;-R$ &quot;#,##0.00">
                  <c:v>57740.65</c:v>
                </c:pt>
                <c:pt idx="1">
                  <c:v>12693.550000000001</c:v>
                </c:pt>
                <c:pt idx="2" formatCode="General">
                  <c:v>17543.66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F-4EA3-B028-838732576080}"/>
            </c:ext>
          </c:extLst>
        </c:ser>
        <c:ser>
          <c:idx val="1"/>
          <c:order val="1"/>
          <c:tx>
            <c:strRef>
              <c:f>_DadosAux!O1</c:f>
              <c:strCache>
                <c:ptCount val="1"/>
                <c:pt idx="0">
                  <c:v>Despesa</c:v>
                </c:pt>
              </c:strCache>
            </c:strRef>
          </c:tx>
          <c:spPr>
            <a:prstGeom prst="rect">
              <a:avLst/>
            </a:prstGeom>
            <a:solidFill>
              <a:srgbClr val="C0392B"/>
            </a:solidFill>
            <a:ln w="12600">
              <a:solidFill>
                <a:srgbClr val="FFFFFF"/>
              </a:solidFill>
              <a:round/>
            </a:ln>
          </c:spPr>
          <c:invertIfNegative val="0"/>
          <c:cat>
            <c:strRef>
              <c:f>_DadosAux!$M$2:$M$4</c:f>
              <c:strCache>
                <c:ptCount val="3"/>
                <c:pt idx="0">
                  <c:v>Bruto</c:v>
                </c:pt>
                <c:pt idx="1">
                  <c:v>Realizado</c:v>
                </c:pt>
                <c:pt idx="2">
                  <c:v>Em Risco</c:v>
                </c:pt>
              </c:strCache>
            </c:strRef>
          </c:cat>
          <c:val>
            <c:numRef>
              <c:f>_DadosAux!$O$2:$O$4</c:f>
              <c:numCache>
                <c:formatCode>_-[$R$-416]\ * #,##0.00_-;\-[$R$-416]\ * #,##0.00_-;_-[$R$-416]\ * \-??_-;_-@_-</c:formatCode>
                <c:ptCount val="3"/>
                <c:pt idx="0">
                  <c:v>167793.31000000003</c:v>
                </c:pt>
                <c:pt idx="1">
                  <c:v>123325.19</c:v>
                </c:pt>
                <c:pt idx="2">
                  <c:v>44414.18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F-4EA3-B028-838732576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547450"/>
        <c:axId val="19194508"/>
      </c:barChart>
      <c:catAx>
        <c:axId val="785474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prstGeom prst="rect">
            <a:avLst/>
          </a:prstGeom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9194508"/>
        <c:crosses val="autoZero"/>
        <c:auto val="1"/>
        <c:lblAlgn val="ctr"/>
        <c:lblOffset val="100"/>
        <c:noMultiLvlLbl val="0"/>
      </c:catAx>
      <c:valAx>
        <c:axId val="19194508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12600">
              <a:solidFill>
                <a:srgbClr val="8B8B8B"/>
              </a:solidFill>
              <a:round/>
            </a:ln>
          </c:spPr>
        </c:majorGridlines>
        <c:numFmt formatCode="&quot;R$ &quot;#,##0.00;[Red]&quot;-R$ &quot;#,##0.00" sourceLinked="0"/>
        <c:majorTickMark val="none"/>
        <c:minorTickMark val="none"/>
        <c:tickLblPos val="nextTo"/>
        <c:spPr>
          <a:prstGeom prst="rect">
            <a:avLst/>
          </a:prstGeom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8547450"/>
        <c:crosses val="autoZero"/>
        <c:crossBetween val="between"/>
      </c:valAx>
      <c:spPr>
        <a:prstGeom prst="rect">
          <a:avLst/>
        </a:prstGeom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203212837545996"/>
          <c:y val="0.44672729230154962"/>
        </c:manualLayout>
      </c:layout>
      <c:overlay val="0"/>
      <c:spPr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95249" y="13067354"/>
      <a:ext cx="5510212" cy="4257674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Receita por Categoria</a:t>
            </a:r>
            <a:endParaRPr lang="en-US"/>
          </a:p>
        </c:rich>
      </c:tx>
      <c:overlay val="0"/>
      <c:spPr>
        <a:prstGeom prst="rect">
          <a:avLst/>
        </a:prstGeom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739"/>
          <c:y val="0.31968999999999997"/>
          <c:w val="0.67744000000000004"/>
          <c:h val="0.44479999999999997"/>
        </c:manualLayout>
      </c:layout>
      <c:pieChart>
        <c:varyColors val="1"/>
        <c:ser>
          <c:idx val="0"/>
          <c:order val="0"/>
          <c:tx>
            <c:strRef>
              <c:f>_DadosAux!R1</c:f>
              <c:strCache>
                <c:ptCount val="1"/>
                <c:pt idx="0">
                  <c:v>Valor</c:v>
                </c:pt>
              </c:strCache>
            </c:strRef>
          </c:tx>
          <c:spPr>
            <a:prstGeom prst="rect">
              <a:avLst/>
            </a:prstGeom>
            <a:solidFill>
              <a:srgbClr val="145F82"/>
            </a:solidFill>
            <a:ln w="1260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prstGeom prst="rect">
                <a:avLst/>
              </a:prstGeom>
              <a:solidFill>
                <a:srgbClr val="1A5EA8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B07-43B2-8F62-5A6C8BAB068E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rgbClr val="A6A6A6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B07-43B2-8F62-5A6C8BAB068E}"/>
              </c:ext>
            </c:extLst>
          </c:dPt>
          <c:dLbls>
            <c:dLbl>
              <c:idx val="0"/>
              <c:layout>
                <c:manualLayout>
                  <c:x val="6.5030000000000004E-2"/>
                  <c:y val="-2.9080000000000002E-2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1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/>
                      <a:t>91%</a:t>
                    </a: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B07-43B2-8F62-5A6C8BAB068E}"/>
                </c:ext>
              </c:extLst>
            </c:dLbl>
            <c:dLbl>
              <c:idx val="1"/>
              <c:layout>
                <c:manualLayout>
                  <c:x val="1.1310000000000001E-2"/>
                  <c:y val="2.2300000000000002E-3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1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 b="1"/>
                      <a:t> 9%</a:t>
                    </a: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B07-43B2-8F62-5A6C8BAB0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0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_DadosAux!$Q$2:$Q$3</c:f>
              <c:strCache>
                <c:ptCount val="2"/>
                <c:pt idx="0">
                  <c:v>Venda</c:v>
                </c:pt>
                <c:pt idx="1">
                  <c:v>Locação</c:v>
                </c:pt>
              </c:strCache>
            </c:strRef>
          </c:cat>
          <c:val>
            <c:numRef>
              <c:f>_DadosAux!$R$2:$R$3</c:f>
              <c:numCache>
                <c:formatCode>General</c:formatCode>
                <c:ptCount val="2"/>
                <c:pt idx="0">
                  <c:v>52349.5</c:v>
                </c:pt>
                <c:pt idx="1">
                  <c:v>5391.15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07-43B2-8F62-5A6C8BAB0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prstGeom prst="rect">
          <a:avLst/>
        </a:prstGeom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18509999999999999"/>
          <c:y val="0.88836000000000004"/>
          <c:w val="0.63771"/>
          <c:h val="4.1779999999999998E-2"/>
        </c:manualLayout>
      </c:layout>
      <c:overlay val="0"/>
      <c:spPr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5553074" y="13067354"/>
      <a:ext cx="2847974" cy="4257674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Eficiência</a:t>
            </a:r>
            <a:endParaRPr lang="en-US"/>
          </a:p>
        </c:rich>
      </c:tx>
      <c:layout>
        <c:manualLayout>
          <c:xMode val="edge"/>
          <c:yMode val="edge"/>
          <c:x val="0.30709061337854088"/>
          <c:y val="2.2573269410282787E-2"/>
        </c:manualLayout>
      </c:layout>
      <c:overlay val="0"/>
      <c:spPr>
        <a:prstGeom prst="rect">
          <a:avLst/>
        </a:prstGeom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49"/>
          <c:y val="0.20191999999999999"/>
          <c:w val="0.74468000000000001"/>
          <c:h val="0.55891999999999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_DadosAux!T1</c:f>
              <c:strCache>
                <c:ptCount val="1"/>
                <c:pt idx="0">
                  <c:v>Percentual</c:v>
                </c:pt>
              </c:strCache>
            </c:strRef>
          </c:tx>
          <c:spPr>
            <a:prstGeom prst="rect">
              <a:avLst/>
            </a:prstGeom>
            <a:solidFill>
              <a:srgbClr val="145F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2"/>
            <c:invertIfNegative val="0"/>
            <c:bubble3D val="0"/>
            <c:spPr>
              <a:prstGeom prst="rect">
                <a:avLst/>
              </a:prstGeom>
              <a:solidFill>
                <a:srgbClr val="C0392B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0-9F3E-42D5-B65F-F8CDAADF268E}"/>
              </c:ext>
            </c:extLst>
          </c:dPt>
          <c:dLbls>
            <c:dLbl>
              <c:idx val="0"/>
              <c:tx>
                <c:rich>
                  <a:bodyPr wrap="square"/>
                  <a:lstStyle/>
                  <a:p>
                    <a:pPr>
                      <a:defRPr sz="1000" b="1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 b="1"/>
                      <a:t>22%</a:t>
                    </a:r>
                  </a:p>
                </c:rich>
              </c:tx>
              <c:spPr/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F3E-42D5-B65F-F8CDAADF268E}"/>
                </c:ext>
              </c:extLst>
            </c:dLbl>
            <c:dLbl>
              <c:idx val="1"/>
              <c:tx>
                <c:rich>
                  <a:bodyPr wrap="square"/>
                  <a:lstStyle/>
                  <a:p>
                    <a:pPr>
                      <a:defRPr sz="1000" b="1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 b="1"/>
                      <a:t>  73%</a:t>
                    </a:r>
                  </a:p>
                </c:rich>
              </c:tx>
              <c:spPr/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F3E-42D5-B65F-F8CDAADF268E}"/>
                </c:ext>
              </c:extLst>
            </c:dLbl>
            <c:dLbl>
              <c:idx val="2"/>
              <c:tx>
                <c:rich>
                  <a:bodyPr wrap="square"/>
                  <a:lstStyle/>
                  <a:p>
                    <a:pPr>
                      <a:defRPr sz="1000" b="1" strike="noStrike" spc="0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 b="1"/>
                      <a:t>972%</a:t>
                    </a:r>
                  </a:p>
                </c:rich>
              </c:tx>
              <c:spPr/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9F3E-42D5-B65F-F8CDAADF2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_DadosAux!$S$2:$S$4</c:f>
              <c:strCache>
                <c:ptCount val="3"/>
                <c:pt idx="0">
                  <c:v>Efic. Cobrança (Rec)</c:v>
                </c:pt>
                <c:pt idx="1">
                  <c:v>Efic. Pagamento (Desp)</c:v>
                </c:pt>
                <c:pt idx="2">
                  <c:v>Comprometimento</c:v>
                </c:pt>
              </c:strCache>
            </c:strRef>
          </c:cat>
          <c:val>
            <c:numRef>
              <c:f>_DadosAux!$T$2:$T$4</c:f>
              <c:numCache>
                <c:formatCode>General</c:formatCode>
                <c:ptCount val="3"/>
                <c:pt idx="0" formatCode="[$$-409]#,##0.00;[Red]\-[$$-409]#,##0.00">
                  <c:v>0.21983732431138203</c:v>
                </c:pt>
                <c:pt idx="1">
                  <c:v>0.73498275944374647</c:v>
                </c:pt>
                <c:pt idx="2">
                  <c:v>9.7155791720992148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3E-42D5-B65F-F8CDAADF2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941047"/>
        <c:axId val="89050704"/>
      </c:barChart>
      <c:catAx>
        <c:axId val="309410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prstGeom prst="rect">
            <a:avLst/>
          </a:prstGeom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9050704"/>
        <c:crosses val="autoZero"/>
        <c:auto val="1"/>
        <c:lblAlgn val="ctr"/>
        <c:lblOffset val="100"/>
        <c:noMultiLvlLbl val="0"/>
      </c:catAx>
      <c:valAx>
        <c:axId val="89050704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%</a:t>
                </a:r>
                <a:endParaRPr lang="en-US"/>
              </a:p>
            </c:rich>
          </c:tx>
          <c:overlay val="0"/>
          <c:spPr>
            <a:prstGeom prst="rect">
              <a:avLst/>
            </a:prstGeom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prstGeom prst="rect">
            <a:avLst/>
          </a:prstGeom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0941047"/>
        <c:crosses val="autoZero"/>
        <c:crossBetween val="between"/>
      </c:valAx>
      <c:spPr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>
    <a:xfrm>
      <a:off x="8401050" y="13067354"/>
      <a:ext cx="2686049" cy="4257674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895320</xdr:colOff>
      <xdr:row>0</xdr:row>
      <xdr:rowOff>47520</xdr:rowOff>
    </xdr:from>
    <xdr:to>
      <xdr:col>12</xdr:col>
      <xdr:colOff>2123280</xdr:colOff>
      <xdr:row>4</xdr:row>
      <xdr:rowOff>56159</xdr:rowOff>
    </xdr:to>
    <xdr:pic>
      <xdr:nvPicPr>
        <xdr:cNvPr id="6" name="Imagem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19895040" y="47520"/>
          <a:ext cx="1227960" cy="951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733320</xdr:colOff>
      <xdr:row>0</xdr:row>
      <xdr:rowOff>0</xdr:rowOff>
    </xdr:from>
    <xdr:to>
      <xdr:col>13</xdr:col>
      <xdr:colOff>1913865</xdr:colOff>
      <xdr:row>4</xdr:row>
      <xdr:rowOff>75600</xdr:rowOff>
    </xdr:to>
    <xdr:pic>
      <xdr:nvPicPr>
        <xdr:cNvPr id="7" name="Imagem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19913400" y="0"/>
          <a:ext cx="1818720" cy="1018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228599</xdr:rowOff>
    </xdr:from>
    <xdr:to>
      <xdr:col>4</xdr:col>
      <xdr:colOff>1114423</xdr:colOff>
      <xdr:row>53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114300</xdr:colOff>
      <xdr:row>37</xdr:row>
      <xdr:rowOff>0</xdr:rowOff>
    </xdr:from>
    <xdr:to>
      <xdr:col>10</xdr:col>
      <xdr:colOff>0</xdr:colOff>
      <xdr:row>53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114300</xdr:colOff>
      <xdr:row>37</xdr:row>
      <xdr:rowOff>0</xdr:rowOff>
    </xdr:from>
    <xdr:to>
      <xdr:col>15</xdr:col>
      <xdr:colOff>0</xdr:colOff>
      <xdr:row>53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866775</xdr:colOff>
      <xdr:row>76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  <a:ext uri="{147F2762-F138-4A5C-976F-8EAC2B608ADB}">
              <a16:predDERef xmlns:a16="http://schemas.microsoft.com/office/drawing/2014/main" pre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857249</xdr:colOff>
      <xdr:row>54</xdr:row>
      <xdr:rowOff>199079</xdr:rowOff>
    </xdr:from>
    <xdr:to>
      <xdr:col>11</xdr:col>
      <xdr:colOff>895349</xdr:colOff>
      <xdr:row>76</xdr:row>
      <xdr:rowOff>141929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  <a:ext uri="{147F2762-F138-4A5C-976F-8EAC2B608ADB}">
              <a16:predDERef xmlns:a16="http://schemas.microsoft.com/office/drawing/2014/main" pre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895349</xdr:colOff>
      <xdr:row>54</xdr:row>
      <xdr:rowOff>199079</xdr:rowOff>
    </xdr:from>
    <xdr:to>
      <xdr:col>14</xdr:col>
      <xdr:colOff>895349</xdr:colOff>
      <xdr:row>76</xdr:row>
      <xdr:rowOff>141929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  <a:ext uri="{147F2762-F138-4A5C-976F-8EAC2B608ADB}">
              <a16:predDERef xmlns:a16="http://schemas.microsoft.com/office/drawing/2014/main" pre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5:M27">
  <autoFilter ref="A15:M27" xr:uid="{00000000-0009-0000-0100-000001000000}"/>
  <tableColumns count="13">
    <tableColumn id="1" xr3:uid="{00000000-0010-0000-0000-000001000000}" name="ID"/>
    <tableColumn id="2" xr3:uid="{00000000-0010-0000-0000-000002000000}" name="CLIENTE"/>
    <tableColumn id="3" xr3:uid="{00000000-0010-0000-0000-000003000000}" name="DESCRIÇÃO"/>
    <tableColumn id="4" xr3:uid="{00000000-0010-0000-0000-000004000000}" name="CATEGORIA"/>
    <tableColumn id="5" xr3:uid="{00000000-0010-0000-0000-000005000000}" name="EMISSÃO"/>
    <tableColumn id="6" xr3:uid="{00000000-0010-0000-0000-000006000000}" name="VENCIMENTO"/>
    <tableColumn id="7" xr3:uid="{00000000-0010-0000-0000-000007000000}" name="VALOR TOTAL (R$)"/>
    <tableColumn id="8" xr3:uid="{00000000-0010-0000-0000-000008000000}" name="BOLETO"/>
    <tableColumn id="9" xr3:uid="{00000000-0010-0000-0000-000009000000}" name="STATUS"/>
    <tableColumn id="10" xr3:uid="{00000000-0010-0000-0000-00000A000000}" name="DATA RECEBIMENTO"/>
    <tableColumn id="11" xr3:uid="{00000000-0010-0000-0000-00000B000000}" name="DESCONTO (-) ACRÉSCIMO (+)  (R$)"/>
    <tableColumn id="12" xr3:uid="{00000000-0010-0000-0000-00000C000000}" name="VALOR FINAL (R$)"/>
    <tableColumn id="13" xr3:uid="{00000000-0010-0000-0000-00000D000000}" name="OBSERVAÇÕ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4:N27">
  <autoFilter ref="A14:N27" xr:uid="{00000000-0009-0000-0100-000002000000}"/>
  <tableColumns count="14">
    <tableColumn id="1" xr3:uid="{00000000-0010-0000-0100-000001000000}" name="ID"/>
    <tableColumn id="2" xr3:uid="{00000000-0010-0000-0100-000002000000}" name="FORNECEDOR"/>
    <tableColumn id="3" xr3:uid="{00000000-0010-0000-0100-000003000000}" name="DESCRIÇÃO"/>
    <tableColumn id="4" xr3:uid="{00000000-0010-0000-0100-000004000000}" name="CATEGORIA"/>
    <tableColumn id="5" xr3:uid="{00000000-0010-0000-0100-000005000000}" name="EMISSÃO"/>
    <tableColumn id="6" xr3:uid="{00000000-0010-0000-0100-000006000000}" name="RECEBIMENTO"/>
    <tableColumn id="7" xr3:uid="{00000000-0010-0000-0100-000007000000}" name="VENCIMENTO"/>
    <tableColumn id="8" xr3:uid="{00000000-0010-0000-0100-000008000000}" name="VALOR TOTAL (R$)"/>
    <tableColumn id="9" xr3:uid="{00000000-0010-0000-0100-000009000000}" name="PAGAMENTO"/>
    <tableColumn id="10" xr3:uid="{00000000-0010-0000-0100-00000A000000}" name="STATUS"/>
    <tableColumn id="11" xr3:uid="{00000000-0010-0000-0100-00000B000000}" name="DESCONTO  (R$)"/>
    <tableColumn id="12" xr3:uid="{00000000-0010-0000-0100-00000C000000}" name="JUROS   (R$)"/>
    <tableColumn id="13" xr3:uid="{00000000-0010-0000-0100-00000D000000}" name="VALOR FINAL (R$)"/>
    <tableColumn id="14" xr3:uid="{00000000-0010-0000-0100-00000E000000}" name="OBSERV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430BF"/>
  </sheetPr>
  <dimension ref="A1:O39"/>
  <sheetViews>
    <sheetView showGridLines="0" workbookViewId="0">
      <selection activeCell="E2" sqref="E2"/>
    </sheetView>
  </sheetViews>
  <sheetFormatPr defaultColWidth="8.5703125" defaultRowHeight="15"/>
  <cols>
    <col min="1" max="1" width="7.85546875" style="1" customWidth="1"/>
    <col min="2" max="2" width="22.7109375" style="2" customWidth="1"/>
    <col min="3" max="3" width="18.140625" style="2" customWidth="1"/>
    <col min="4" max="4" width="17.28515625" style="2" customWidth="1"/>
    <col min="5" max="5" width="20.7109375" style="3" customWidth="1"/>
    <col min="6" max="6" width="19" style="3" customWidth="1"/>
    <col min="7" max="7" width="17.85546875" style="2" customWidth="1"/>
    <col min="8" max="8" width="15.140625" style="3" customWidth="1"/>
    <col min="9" max="9" width="13.7109375" style="3" customWidth="1"/>
    <col min="10" max="10" width="19.28515625" style="2" customWidth="1"/>
    <col min="11" max="11" width="21.5703125" style="2" customWidth="1"/>
    <col min="12" max="12" width="20.42578125" style="2" customWidth="1"/>
    <col min="13" max="13" width="32.28515625" style="2" customWidth="1"/>
    <col min="15" max="15" width="20.5703125" style="2" customWidth="1"/>
  </cols>
  <sheetData>
    <row r="1" spans="1:15" ht="24" customHeight="1">
      <c r="A1" s="166" t="s">
        <v>0</v>
      </c>
      <c r="B1" s="166"/>
      <c r="C1" s="166"/>
      <c r="D1" s="166"/>
      <c r="E1" s="4"/>
      <c r="F1" s="4"/>
      <c r="G1" s="5"/>
      <c r="H1" s="4"/>
      <c r="I1" s="4"/>
      <c r="J1" s="5"/>
      <c r="K1" s="5"/>
      <c r="L1" s="5"/>
      <c r="M1" s="5"/>
      <c r="N1" s="2"/>
    </row>
    <row r="2" spans="1:15" ht="15" customHeight="1">
      <c r="A2" s="167" t="s">
        <v>1</v>
      </c>
      <c r="B2" s="167"/>
      <c r="C2" s="167"/>
      <c r="D2" s="167"/>
      <c r="E2" s="4"/>
      <c r="F2" s="4"/>
      <c r="G2" s="5"/>
      <c r="H2" s="4"/>
      <c r="I2" s="4"/>
      <c r="J2" s="5"/>
      <c r="K2" s="5"/>
      <c r="L2" s="5"/>
      <c r="M2" s="5"/>
      <c r="N2" s="2"/>
    </row>
    <row r="3" spans="1:15" ht="15.75" customHeight="1">
      <c r="A3" s="7" t="s">
        <v>2</v>
      </c>
      <c r="B3" s="8" t="s">
        <v>3</v>
      </c>
      <c r="C3" s="9">
        <f ca="1">TODAY()</f>
        <v>46107</v>
      </c>
      <c r="D3" s="7"/>
      <c r="E3" s="4"/>
      <c r="F3" s="4"/>
      <c r="G3" s="5"/>
      <c r="H3" s="4"/>
      <c r="I3" s="4"/>
      <c r="J3" s="5"/>
      <c r="K3" s="5"/>
      <c r="L3" s="5"/>
      <c r="M3" s="5"/>
      <c r="N3" s="2"/>
    </row>
    <row r="4" spans="1:15" ht="19.5" customHeight="1">
      <c r="A4" s="168" t="s">
        <v>4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2"/>
    </row>
    <row r="5" spans="1:15" ht="8.25" customHeight="1">
      <c r="A5" s="10"/>
      <c r="B5" s="11"/>
      <c r="C5" s="11"/>
      <c r="D5" s="11"/>
      <c r="E5" s="4"/>
      <c r="F5" s="4"/>
      <c r="G5" s="5"/>
      <c r="H5" s="4"/>
      <c r="I5" s="4"/>
      <c r="J5" s="5"/>
      <c r="K5" s="5"/>
      <c r="L5" s="5"/>
      <c r="M5" s="5"/>
      <c r="N5" s="2"/>
    </row>
    <row r="6" spans="1:15" ht="27" customHeight="1">
      <c r="A6" s="169" t="s">
        <v>5</v>
      </c>
      <c r="B6" s="169"/>
      <c r="C6" s="169"/>
      <c r="D6" s="169"/>
      <c r="E6" s="169"/>
      <c r="F6" s="169"/>
      <c r="G6" s="169"/>
      <c r="H6" s="169"/>
      <c r="I6" s="4"/>
      <c r="J6" s="5"/>
      <c r="K6" s="5"/>
      <c r="L6" s="5"/>
      <c r="M6" s="5"/>
      <c r="N6" s="2"/>
    </row>
    <row r="7" spans="1:15" ht="8.25" hidden="1" customHeight="1">
      <c r="A7" s="165" t="s">
        <v>6</v>
      </c>
      <c r="B7" s="165"/>
      <c r="C7" s="13">
        <f>SUM(Tabela1[VALOR TOTAL (R$)])</f>
        <v>57740.65</v>
      </c>
      <c r="G7" s="5"/>
      <c r="H7" s="4"/>
      <c r="I7" s="4"/>
      <c r="J7" s="5"/>
      <c r="K7" s="5"/>
      <c r="L7" s="5"/>
      <c r="M7" s="14"/>
      <c r="N7" s="2"/>
    </row>
    <row r="8" spans="1:15" ht="15" customHeight="1">
      <c r="A8" s="164" t="s">
        <v>7</v>
      </c>
      <c r="B8" s="164"/>
      <c r="C8" s="15">
        <f>SUM(Tabela1[VALOR TOTAL (R$)])</f>
        <v>57740.65</v>
      </c>
      <c r="D8" s="16" t="s">
        <v>8</v>
      </c>
      <c r="E8" s="17">
        <f ca="1">SUMIF(H16:H28,"Boleto",L16:L28)</f>
        <v>28780.087699999996</v>
      </c>
      <c r="H8" s="4"/>
      <c r="I8" s="18"/>
      <c r="J8" s="5"/>
      <c r="K8" s="19"/>
      <c r="L8" s="5"/>
      <c r="M8" s="5"/>
      <c r="N8" s="2"/>
    </row>
    <row r="9" spans="1:15" ht="15.75" customHeight="1">
      <c r="A9" s="165" t="s">
        <v>9</v>
      </c>
      <c r="B9" s="165"/>
      <c r="C9" s="13">
        <f ca="1">SUMIF(I16:I28,"Pendente",G16:G28)</f>
        <v>2896.15</v>
      </c>
      <c r="D9" s="16" t="s">
        <v>10</v>
      </c>
      <c r="E9" s="17">
        <f ca="1">SUMIF(H16:H28,"Cartão",L16:L28)</f>
        <v>1237.5</v>
      </c>
      <c r="F9" s="20" t="s">
        <v>11</v>
      </c>
      <c r="G9" s="21">
        <f ca="1">E11/C8</f>
        <v>0.73970656201480234</v>
      </c>
      <c r="I9" s="22"/>
      <c r="J9" s="5"/>
      <c r="K9" s="19"/>
      <c r="L9" s="5"/>
      <c r="M9" s="5"/>
      <c r="N9" s="2"/>
    </row>
    <row r="10" spans="1:15" ht="15" customHeight="1">
      <c r="A10" s="165" t="s">
        <v>12</v>
      </c>
      <c r="B10" s="165"/>
      <c r="C10" s="23">
        <f ca="1">SUMIF(I16:I28,"Atrasado",G16:G28)</f>
        <v>14647.509999999998</v>
      </c>
      <c r="D10" s="16" t="s">
        <v>13</v>
      </c>
      <c r="E10" s="17">
        <f ca="1">SUMIF(H16:H28,"Depósito",L16:L28)</f>
        <v>12693.550000000001</v>
      </c>
      <c r="F10" s="20" t="s">
        <v>14</v>
      </c>
      <c r="G10" s="21">
        <f ca="1">C10/C8</f>
        <v>0.25367760840932685</v>
      </c>
      <c r="I10" s="24"/>
      <c r="J10" s="5"/>
      <c r="K10" s="5"/>
      <c r="L10" s="5"/>
      <c r="M10" s="5"/>
      <c r="N10" s="2"/>
    </row>
    <row r="11" spans="1:15" ht="15" customHeight="1">
      <c r="A11" s="12"/>
      <c r="B11" s="12"/>
      <c r="C11" s="23"/>
      <c r="D11" s="6" t="s">
        <v>15</v>
      </c>
      <c r="E11" s="25">
        <f ca="1">SUM(E8:E10)</f>
        <v>42711.137699999999</v>
      </c>
      <c r="G11" s="26"/>
      <c r="H11" s="27"/>
      <c r="I11" s="4"/>
      <c r="J11" s="5"/>
      <c r="K11" s="5"/>
      <c r="L11" s="5"/>
      <c r="M11" s="5"/>
      <c r="N11" s="2"/>
    </row>
    <row r="12" spans="1:15" ht="24.75" customHeight="1">
      <c r="A12" s="28"/>
      <c r="B12" s="29"/>
      <c r="C12" s="5"/>
      <c r="D12" s="5"/>
      <c r="E12" s="4"/>
      <c r="F12" s="4"/>
      <c r="G12" s="5"/>
      <c r="H12" s="4"/>
      <c r="I12" s="4"/>
      <c r="J12" s="5"/>
      <c r="K12" s="5"/>
      <c r="L12" s="5"/>
      <c r="M12" s="5"/>
      <c r="N12" s="2"/>
    </row>
    <row r="13" spans="1:15" ht="6.75" customHeight="1">
      <c r="A13" s="30"/>
      <c r="B13" s="31"/>
      <c r="C13" s="31"/>
      <c r="D13" s="31"/>
      <c r="E13" s="32"/>
      <c r="F13" s="32"/>
      <c r="G13" s="31"/>
      <c r="H13" s="32"/>
      <c r="I13" s="32"/>
      <c r="J13" s="31"/>
      <c r="K13" s="31"/>
      <c r="L13" s="31"/>
      <c r="M13" s="31"/>
      <c r="N13" s="2"/>
    </row>
    <row r="14" spans="1:15" ht="9" customHeight="1">
      <c r="B14" s="5"/>
      <c r="C14" s="5"/>
      <c r="D14" s="5"/>
      <c r="E14" s="4"/>
      <c r="F14" s="4"/>
      <c r="G14" s="5"/>
      <c r="H14" s="4"/>
      <c r="I14" s="33"/>
      <c r="J14" s="5"/>
      <c r="K14" s="34"/>
      <c r="L14" s="34"/>
      <c r="M14" s="5"/>
      <c r="N14" s="2"/>
    </row>
    <row r="15" spans="1:15" s="35" customFormat="1" ht="37.5" customHeight="1">
      <c r="A15" s="36" t="s">
        <v>16</v>
      </c>
      <c r="B15" s="37" t="s">
        <v>17</v>
      </c>
      <c r="C15" s="37" t="s">
        <v>18</v>
      </c>
      <c r="D15" s="37" t="s">
        <v>19</v>
      </c>
      <c r="E15" s="37" t="s">
        <v>20</v>
      </c>
      <c r="F15" s="37" t="s">
        <v>21</v>
      </c>
      <c r="G15" s="37" t="s">
        <v>22</v>
      </c>
      <c r="H15" s="37" t="s">
        <v>23</v>
      </c>
      <c r="I15" s="37" t="s">
        <v>24</v>
      </c>
      <c r="J15" s="37" t="s">
        <v>25</v>
      </c>
      <c r="K15" s="37" t="s">
        <v>26</v>
      </c>
      <c r="L15" s="37" t="s">
        <v>27</v>
      </c>
      <c r="M15" s="38" t="s">
        <v>28</v>
      </c>
    </row>
    <row r="16" spans="1:15" s="39" customFormat="1" ht="12" customHeight="1">
      <c r="A16" s="40">
        <v>1</v>
      </c>
      <c r="B16" s="41" t="s">
        <v>29</v>
      </c>
      <c r="C16" s="41" t="s">
        <v>30</v>
      </c>
      <c r="D16" s="41" t="s">
        <v>31</v>
      </c>
      <c r="E16" s="42">
        <v>46054</v>
      </c>
      <c r="F16" s="42">
        <v>46082</v>
      </c>
      <c r="G16" s="43">
        <v>3500</v>
      </c>
      <c r="H16" s="44" t="s">
        <v>32</v>
      </c>
      <c r="I16" s="45" t="str">
        <f t="shared" ref="I16:I27" ca="1" si="0">IF(J16&gt;0,"Recebido",IF(AND(TODAY()&gt;F16,J16=0),"Atrasado","Pendente"))</f>
        <v>Recebido</v>
      </c>
      <c r="J16" s="46">
        <v>46082</v>
      </c>
      <c r="K16" s="47">
        <f t="shared" ref="K16:K17" ca="1" si="1">IF(I16&lt;&gt;"Recebido","",IF(J16&lt;F16,-G16*1%,IF(J16&gt;F16,(J16-F16)*G16*6%,0)))</f>
        <v>0</v>
      </c>
      <c r="L16" s="43">
        <f t="shared" ref="L16:L27" ca="1" si="2">IF(I16="Recebido",G16+IF(K16="",0,K16),"")</f>
        <v>3500</v>
      </c>
      <c r="M16" s="41"/>
      <c r="O16" s="48"/>
    </row>
    <row r="17" spans="1:13" s="39" customFormat="1" ht="15" customHeight="1">
      <c r="A17" s="49">
        <v>2</v>
      </c>
      <c r="B17" s="50" t="s">
        <v>33</v>
      </c>
      <c r="C17" s="50" t="s">
        <v>30</v>
      </c>
      <c r="D17" s="51" t="s">
        <v>31</v>
      </c>
      <c r="E17" s="52">
        <v>46056</v>
      </c>
      <c r="F17" s="52">
        <v>46084</v>
      </c>
      <c r="G17" s="53">
        <v>3200.5</v>
      </c>
      <c r="H17" s="54" t="s">
        <v>32</v>
      </c>
      <c r="I17" s="55" t="str">
        <f t="shared" ca="1" si="0"/>
        <v>Recebido</v>
      </c>
      <c r="J17" s="56">
        <v>46085</v>
      </c>
      <c r="K17" s="57">
        <f t="shared" ca="1" si="1"/>
        <v>192.03</v>
      </c>
      <c r="L17" s="53">
        <f t="shared" ca="1" si="2"/>
        <v>3392.53</v>
      </c>
      <c r="M17" s="50"/>
    </row>
    <row r="18" spans="1:13" s="39" customFormat="1" ht="15" customHeight="1">
      <c r="A18" s="40">
        <v>35</v>
      </c>
      <c r="B18" s="41" t="s">
        <v>34</v>
      </c>
      <c r="C18" s="41" t="s">
        <v>30</v>
      </c>
      <c r="D18" s="41" t="s">
        <v>31</v>
      </c>
      <c r="E18" s="42">
        <v>46058</v>
      </c>
      <c r="F18" s="42">
        <v>46086</v>
      </c>
      <c r="G18" s="43">
        <v>2400</v>
      </c>
      <c r="H18" s="44" t="s">
        <v>32</v>
      </c>
      <c r="I18" s="58" t="str">
        <f t="shared" ca="1" si="0"/>
        <v>Atrasado</v>
      </c>
      <c r="J18" s="41"/>
      <c r="K18" s="47" t="str">
        <f ca="1">IF(I18&lt;&gt;"Recebido","",IF(J18&lt;F18,-G18*5%,IF(J18&gt;F18,(J18-F18)*G18*6%,0)))</f>
        <v/>
      </c>
      <c r="L18" s="43" t="str">
        <f t="shared" ca="1" si="2"/>
        <v/>
      </c>
      <c r="M18" s="41"/>
    </row>
    <row r="19" spans="1:13" s="39" customFormat="1" ht="15" customHeight="1">
      <c r="A19" s="49">
        <v>15</v>
      </c>
      <c r="B19" s="50" t="s">
        <v>35</v>
      </c>
      <c r="C19" s="50" t="s">
        <v>36</v>
      </c>
      <c r="D19" s="51" t="s">
        <v>37</v>
      </c>
      <c r="E19" s="52">
        <v>46060</v>
      </c>
      <c r="F19" s="52">
        <v>46180</v>
      </c>
      <c r="G19" s="53">
        <v>1250</v>
      </c>
      <c r="H19" s="54" t="s">
        <v>38</v>
      </c>
      <c r="I19" s="59" t="str">
        <f t="shared" ca="1" si="0"/>
        <v>Recebido</v>
      </c>
      <c r="J19" s="56">
        <v>46088</v>
      </c>
      <c r="K19" s="57">
        <f t="shared" ref="K19:K27" ca="1" si="3">IF(I19&lt;&gt;"Recebido","",IF(J19&lt;F19,-G19*1%,IF(J19&gt;F19,(J19-F19)*G19*6%,0)))</f>
        <v>-12.5</v>
      </c>
      <c r="L19" s="53">
        <f t="shared" ca="1" si="2"/>
        <v>1237.5</v>
      </c>
      <c r="M19" s="50"/>
    </row>
    <row r="20" spans="1:13" s="39" customFormat="1" ht="15" customHeight="1">
      <c r="A20" s="40">
        <v>153</v>
      </c>
      <c r="B20" s="41" t="s">
        <v>39</v>
      </c>
      <c r="C20" s="41" t="s">
        <v>30</v>
      </c>
      <c r="D20" s="41" t="s">
        <v>31</v>
      </c>
      <c r="E20" s="42">
        <v>46078</v>
      </c>
      <c r="F20" s="42">
        <v>46106</v>
      </c>
      <c r="G20" s="43">
        <v>5876.12</v>
      </c>
      <c r="H20" s="44" t="s">
        <v>40</v>
      </c>
      <c r="I20" s="44" t="str">
        <f t="shared" ca="1" si="0"/>
        <v>Atrasado</v>
      </c>
      <c r="J20" s="46"/>
      <c r="K20" s="47" t="str">
        <f t="shared" ca="1" si="3"/>
        <v/>
      </c>
      <c r="L20" s="43" t="str">
        <f t="shared" ca="1" si="2"/>
        <v/>
      </c>
      <c r="M20" s="41"/>
    </row>
    <row r="21" spans="1:13" s="39" customFormat="1" ht="15" customHeight="1">
      <c r="A21" s="49">
        <v>23</v>
      </c>
      <c r="B21" s="50" t="s">
        <v>41</v>
      </c>
      <c r="C21" s="50" t="s">
        <v>30</v>
      </c>
      <c r="D21" s="51" t="s">
        <v>31</v>
      </c>
      <c r="E21" s="52">
        <v>46063</v>
      </c>
      <c r="F21" s="52">
        <v>46106</v>
      </c>
      <c r="G21" s="53">
        <v>7895.23</v>
      </c>
      <c r="H21" s="54" t="s">
        <v>40</v>
      </c>
      <c r="I21" s="55" t="str">
        <f t="shared" ca="1" si="0"/>
        <v>Recebido</v>
      </c>
      <c r="J21" s="56">
        <v>46091</v>
      </c>
      <c r="K21" s="57">
        <f t="shared" ca="1" si="3"/>
        <v>-78.952299999999994</v>
      </c>
      <c r="L21" s="53">
        <f t="shared" ca="1" si="2"/>
        <v>7816.2776999999996</v>
      </c>
      <c r="M21" s="50"/>
    </row>
    <row r="22" spans="1:13" s="39" customFormat="1" ht="15" customHeight="1">
      <c r="A22" s="40">
        <v>58</v>
      </c>
      <c r="B22" s="41" t="s">
        <v>42</v>
      </c>
      <c r="C22" s="41" t="s">
        <v>30</v>
      </c>
      <c r="D22" s="41" t="s">
        <v>31</v>
      </c>
      <c r="E22" s="42">
        <v>46072</v>
      </c>
      <c r="F22" s="42">
        <v>46099</v>
      </c>
      <c r="G22" s="43">
        <v>12845</v>
      </c>
      <c r="H22" s="44" t="s">
        <v>40</v>
      </c>
      <c r="I22" s="44" t="str">
        <f t="shared" ca="1" si="0"/>
        <v>Recebido</v>
      </c>
      <c r="J22" s="46">
        <v>46098</v>
      </c>
      <c r="K22" s="47">
        <f t="shared" ca="1" si="3"/>
        <v>-128.44999999999999</v>
      </c>
      <c r="L22" s="43">
        <f t="shared" ca="1" si="2"/>
        <v>12716.55</v>
      </c>
      <c r="M22" s="60"/>
    </row>
    <row r="23" spans="1:13" s="39" customFormat="1" ht="15" customHeight="1">
      <c r="A23" s="49">
        <v>136</v>
      </c>
      <c r="B23" s="50" t="s">
        <v>43</v>
      </c>
      <c r="C23" s="50" t="s">
        <v>36</v>
      </c>
      <c r="D23" s="51" t="s">
        <v>37</v>
      </c>
      <c r="E23" s="52">
        <v>46074</v>
      </c>
      <c r="F23" s="61">
        <v>46102</v>
      </c>
      <c r="G23" s="62">
        <v>1245</v>
      </c>
      <c r="H23" s="54" t="s">
        <v>38</v>
      </c>
      <c r="I23" s="63" t="str">
        <f t="shared" ca="1" si="0"/>
        <v>Atrasado</v>
      </c>
      <c r="J23" s="56"/>
      <c r="K23" s="57" t="str">
        <f t="shared" ca="1" si="3"/>
        <v/>
      </c>
      <c r="L23" s="53" t="str">
        <f t="shared" ca="1" si="2"/>
        <v/>
      </c>
      <c r="M23" s="51"/>
    </row>
    <row r="24" spans="1:13" s="39" customFormat="1" ht="15" customHeight="1">
      <c r="A24" s="40">
        <v>8956</v>
      </c>
      <c r="B24" s="41" t="s">
        <v>44</v>
      </c>
      <c r="C24" s="41" t="s">
        <v>30</v>
      </c>
      <c r="D24" s="41" t="s">
        <v>31</v>
      </c>
      <c r="E24" s="42">
        <v>46060</v>
      </c>
      <c r="F24" s="42">
        <v>46088</v>
      </c>
      <c r="G24" s="43">
        <v>3259</v>
      </c>
      <c r="H24" s="44" t="s">
        <v>32</v>
      </c>
      <c r="I24" s="44" t="str">
        <f t="shared" ca="1" si="0"/>
        <v>Recebido</v>
      </c>
      <c r="J24" s="46">
        <v>46101</v>
      </c>
      <c r="K24" s="64">
        <f t="shared" ca="1" si="3"/>
        <v>2542.02</v>
      </c>
      <c r="L24" s="43">
        <f t="shared" ca="1" si="2"/>
        <v>5801.02</v>
      </c>
      <c r="M24" s="41"/>
    </row>
    <row r="25" spans="1:13" s="39" customFormat="1" ht="15" customHeight="1">
      <c r="A25" s="49">
        <v>835</v>
      </c>
      <c r="B25" s="50" t="s">
        <v>45</v>
      </c>
      <c r="C25" s="50" t="s">
        <v>30</v>
      </c>
      <c r="D25" s="51" t="s">
        <v>31</v>
      </c>
      <c r="E25" s="52">
        <v>46071</v>
      </c>
      <c r="F25" s="52">
        <v>46100</v>
      </c>
      <c r="G25" s="53">
        <v>8247.26</v>
      </c>
      <c r="H25" s="54" t="s">
        <v>40</v>
      </c>
      <c r="I25" s="63" t="str">
        <f t="shared" ca="1" si="0"/>
        <v>Recebido</v>
      </c>
      <c r="J25" s="56">
        <v>46100</v>
      </c>
      <c r="K25" s="57">
        <f t="shared" ca="1" si="3"/>
        <v>0</v>
      </c>
      <c r="L25" s="53">
        <f t="shared" ca="1" si="2"/>
        <v>8247.26</v>
      </c>
      <c r="M25" s="50"/>
    </row>
    <row r="26" spans="1:13" s="39" customFormat="1" ht="15" customHeight="1">
      <c r="A26" s="40">
        <v>5369</v>
      </c>
      <c r="B26" s="41" t="s">
        <v>46</v>
      </c>
      <c r="C26" s="41" t="s">
        <v>30</v>
      </c>
      <c r="D26" s="41" t="s">
        <v>31</v>
      </c>
      <c r="E26" s="42">
        <v>46068</v>
      </c>
      <c r="F26" s="42">
        <v>46096</v>
      </c>
      <c r="G26" s="43">
        <v>5126.3900000000003</v>
      </c>
      <c r="H26" s="44" t="s">
        <v>40</v>
      </c>
      <c r="I26" s="58" t="str">
        <f t="shared" ca="1" si="0"/>
        <v>Atrasado</v>
      </c>
      <c r="J26" s="41"/>
      <c r="K26" s="65" t="str">
        <f t="shared" ca="1" si="3"/>
        <v/>
      </c>
      <c r="L26" s="43" t="str">
        <f t="shared" ca="1" si="2"/>
        <v/>
      </c>
      <c r="M26" s="41"/>
    </row>
    <row r="27" spans="1:13" s="39" customFormat="1" ht="15" customHeight="1">
      <c r="A27" s="49">
        <v>2588</v>
      </c>
      <c r="B27" s="50" t="s">
        <v>47</v>
      </c>
      <c r="C27" s="50" t="s">
        <v>48</v>
      </c>
      <c r="D27" s="51" t="s">
        <v>37</v>
      </c>
      <c r="E27" s="52">
        <v>46081</v>
      </c>
      <c r="F27" s="52">
        <v>46112</v>
      </c>
      <c r="G27" s="53">
        <v>2896.15</v>
      </c>
      <c r="H27" s="54" t="s">
        <v>32</v>
      </c>
      <c r="I27" s="55" t="str">
        <f t="shared" ca="1" si="0"/>
        <v>Pendente</v>
      </c>
      <c r="J27" s="56"/>
      <c r="K27" s="66" t="str">
        <f t="shared" ca="1" si="3"/>
        <v/>
      </c>
      <c r="L27" s="53" t="str">
        <f t="shared" ca="1" si="2"/>
        <v/>
      </c>
      <c r="M27" s="50"/>
    </row>
    <row r="28" spans="1:13" s="39" customFormat="1" ht="15" customHeight="1">
      <c r="A28" s="67"/>
      <c r="B28" s="68"/>
      <c r="C28" s="68"/>
      <c r="D28" s="68"/>
      <c r="E28" s="69"/>
      <c r="F28" s="69"/>
      <c r="G28" s="68"/>
      <c r="H28" s="69"/>
      <c r="I28" s="69"/>
      <c r="J28" s="68"/>
      <c r="K28" s="68"/>
      <c r="L28" s="68"/>
      <c r="M28" s="68"/>
    </row>
    <row r="29" spans="1:13" s="39" customFormat="1" ht="15" customHeight="1">
      <c r="A29" s="67"/>
      <c r="B29" s="68"/>
      <c r="C29" s="68"/>
      <c r="D29" s="68"/>
      <c r="E29" s="69"/>
      <c r="F29" s="69"/>
      <c r="G29" s="68"/>
      <c r="H29" s="69"/>
      <c r="I29" s="69"/>
      <c r="J29" s="68"/>
      <c r="K29" s="68"/>
      <c r="L29" s="68"/>
      <c r="M29" s="68"/>
    </row>
    <row r="30" spans="1:13" s="39" customFormat="1" ht="15" customHeight="1">
      <c r="A30" s="67"/>
      <c r="B30" s="68"/>
      <c r="C30" s="68"/>
      <c r="D30" s="68"/>
      <c r="E30" s="69"/>
      <c r="F30" s="69"/>
      <c r="G30" s="68"/>
      <c r="H30" s="69"/>
      <c r="I30" s="69"/>
      <c r="J30" s="68"/>
      <c r="K30" s="68"/>
      <c r="L30" s="68"/>
      <c r="M30" s="68"/>
    </row>
    <row r="31" spans="1:13" s="39" customFormat="1" ht="15" customHeight="1">
      <c r="A31" s="67"/>
      <c r="B31" s="68"/>
      <c r="C31" s="68"/>
      <c r="D31" s="68"/>
      <c r="E31" s="69"/>
      <c r="F31" s="69"/>
      <c r="G31" s="68"/>
      <c r="H31" s="69"/>
      <c r="I31" s="69"/>
      <c r="J31" s="68"/>
      <c r="K31" s="68"/>
      <c r="L31" s="68"/>
      <c r="M31" s="68"/>
    </row>
    <row r="32" spans="1:13" s="39" customFormat="1" ht="15" customHeight="1">
      <c r="A32" s="67"/>
      <c r="B32" s="68"/>
      <c r="C32" s="68"/>
      <c r="D32" s="68"/>
      <c r="E32" s="69"/>
      <c r="F32" s="69"/>
      <c r="G32" s="68"/>
      <c r="H32" s="69"/>
      <c r="I32" s="69"/>
      <c r="J32" s="68"/>
      <c r="K32" s="68"/>
      <c r="L32" s="68"/>
      <c r="M32" s="68"/>
    </row>
    <row r="33" spans="1:13" s="39" customFormat="1" ht="15" customHeight="1">
      <c r="A33" s="67"/>
      <c r="B33" s="68"/>
      <c r="C33" s="68"/>
      <c r="D33" s="68"/>
      <c r="E33" s="69"/>
      <c r="F33" s="69"/>
      <c r="G33" s="68"/>
      <c r="H33" s="69"/>
      <c r="I33" s="69"/>
      <c r="J33" s="68"/>
      <c r="K33" s="68"/>
      <c r="L33" s="68"/>
      <c r="M33" s="70" t="s">
        <v>49</v>
      </c>
    </row>
    <row r="34" spans="1:13" s="39" customFormat="1" ht="15" customHeight="1">
      <c r="A34" s="67"/>
      <c r="B34" s="68"/>
      <c r="C34" s="68"/>
      <c r="D34" s="68"/>
      <c r="E34" s="69"/>
      <c r="F34" s="69"/>
      <c r="G34" s="68"/>
      <c r="H34" s="69"/>
      <c r="I34" s="69"/>
      <c r="J34" s="68"/>
      <c r="K34" s="68"/>
      <c r="L34" s="68"/>
      <c r="M34" s="68"/>
    </row>
    <row r="35" spans="1:13" s="39" customFormat="1" ht="15" customHeight="1">
      <c r="A35" s="67"/>
      <c r="B35" s="68"/>
      <c r="C35" s="68"/>
      <c r="D35" s="68"/>
      <c r="E35" s="69"/>
      <c r="F35" s="69"/>
      <c r="G35" s="68"/>
      <c r="H35" s="69"/>
      <c r="I35" s="69"/>
      <c r="J35" s="68"/>
      <c r="K35" s="68"/>
      <c r="L35" s="68"/>
      <c r="M35" s="68"/>
    </row>
    <row r="36" spans="1:13" s="39" customFormat="1" ht="15" customHeight="1">
      <c r="A36" s="67"/>
      <c r="B36" s="68"/>
      <c r="C36" s="68"/>
      <c r="D36" s="68"/>
      <c r="E36" s="69"/>
      <c r="F36" s="69"/>
      <c r="G36" s="68"/>
      <c r="H36" s="69"/>
      <c r="I36" s="69"/>
      <c r="J36" s="68"/>
      <c r="K36" s="68"/>
      <c r="L36" s="68"/>
      <c r="M36" s="68"/>
    </row>
    <row r="37" spans="1:13" s="39" customFormat="1" ht="15" customHeight="1">
      <c r="A37" s="67"/>
      <c r="B37" s="68"/>
      <c r="C37" s="68"/>
      <c r="D37" s="68"/>
      <c r="E37" s="69"/>
      <c r="F37" s="69"/>
      <c r="G37" s="68"/>
      <c r="H37" s="69"/>
      <c r="I37" s="69"/>
      <c r="J37" s="68"/>
      <c r="K37" s="68"/>
      <c r="L37" s="68"/>
      <c r="M37" s="68"/>
    </row>
    <row r="38" spans="1:13" s="39" customFormat="1" ht="15" customHeight="1">
      <c r="A38" s="24"/>
      <c r="E38" s="71"/>
      <c r="F38" s="72"/>
      <c r="H38" s="72"/>
      <c r="I38" s="72"/>
    </row>
    <row r="39" spans="1:13" s="39" customFormat="1" ht="15" customHeight="1">
      <c r="A39" s="24"/>
      <c r="E39" s="72"/>
      <c r="F39" s="72"/>
      <c r="H39" s="72"/>
      <c r="I39" s="72"/>
    </row>
  </sheetData>
  <sheetProtection algorithmName="SHA-512" hashValue="tSBTOSO6iubfLSXv5dYZiO2Hwvledp1oKgAB7zlfXT91HgM2vOpWdmeE2kJChBrElpiDoVsAUuiJwPo/9/LAPQ==" saltValue="p1h3DIY9wpRWk/vcl0w63A==" spinCount="100000" sheet="1" formatCells="0" formatColumns="0" formatRows="0" insertColumns="0" insertRows="0" insertHyperlinks="0" deleteColumns="0" deleteRows="0" sort="0" autoFilter="0" pivotTables="0"/>
  <mergeCells count="8">
    <mergeCell ref="A8:B8"/>
    <mergeCell ref="A9:B9"/>
    <mergeCell ref="A10:B10"/>
    <mergeCell ref="A1:D1"/>
    <mergeCell ref="A2:D2"/>
    <mergeCell ref="A4:M4"/>
    <mergeCell ref="A6:H6"/>
    <mergeCell ref="A7:B7"/>
  </mergeCells>
  <conditionalFormatting sqref="I1:I1048576">
    <cfRule type="containsText" dxfId="5" priority="2" operator="containsText" text="Pendente">
      <formula>NOT(ISERROR(SEARCH("Pendente",I1)))</formula>
    </cfRule>
  </conditionalFormatting>
  <conditionalFormatting sqref="I1:I1048576">
    <cfRule type="containsText" dxfId="4" priority="3" operator="containsText" text="Atrasado">
      <formula>NOT(ISERROR(SEARCH("Atrasado",I1)))</formula>
    </cfRule>
  </conditionalFormatting>
  <conditionalFormatting sqref="I1:I1048576">
    <cfRule type="containsText" dxfId="3" priority="4" operator="containsText" text="Recebido">
      <formula>NOT(ISERROR(SEARCH("Recebido",I1)))</formula>
    </cfRule>
  </conditionalFormatting>
  <dataValidations count="2">
    <dataValidation type="list" allowBlank="1" showInputMessage="1" showErrorMessage="1" sqref="D16:D27" xr:uid="{00D700AC-00CA-400B-9F18-0082001000D9}">
      <formula1>"Locação,Venda"</formula1>
      <formula2>0</formula2>
    </dataValidation>
    <dataValidation type="list" allowBlank="1" showInputMessage="1" showErrorMessage="1" sqref="H16:H27" xr:uid="{00A400CF-0038-4BAF-8456-001B00B2004F}">
      <formula1>"Depósito,Boleto,Cartão"</formula1>
      <formula2>0</formula2>
    </dataValidation>
  </dataValidations>
  <pageMargins left="0.7" right="0.7" top="0.75" bottom="0.75" header="0.51181102362204689" footer="0.51181102362204689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N42"/>
  <sheetViews>
    <sheetView showGridLines="0" workbookViewId="0">
      <selection activeCell="I9" sqref="I9"/>
    </sheetView>
  </sheetViews>
  <sheetFormatPr defaultColWidth="8.5703125" defaultRowHeight="15"/>
  <cols>
    <col min="1" max="1" width="8.42578125" style="1" customWidth="1"/>
    <col min="2" max="2" width="21" style="2" customWidth="1"/>
    <col min="3" max="3" width="25.85546875" style="2" customWidth="1"/>
    <col min="4" max="4" width="14" style="2" customWidth="1"/>
    <col min="5" max="5" width="15.28515625" style="3" customWidth="1"/>
    <col min="6" max="6" width="19.42578125" style="3" customWidth="1"/>
    <col min="7" max="7" width="13.7109375" style="3" customWidth="1"/>
    <col min="8" max="8" width="13.85546875" style="2" customWidth="1"/>
    <col min="9" max="9" width="18.28515625" style="3" customWidth="1"/>
    <col min="10" max="10" width="17.140625" style="3" customWidth="1"/>
    <col min="11" max="11" width="15.140625" style="2" customWidth="1"/>
    <col min="12" max="12" width="15.28515625" style="2" customWidth="1"/>
    <col min="13" max="13" width="18.28515625" style="2" customWidth="1"/>
    <col min="14" max="14" width="28.7109375" style="2" customWidth="1"/>
  </cols>
  <sheetData>
    <row r="1" spans="1:14" ht="24" customHeight="1">
      <c r="A1" s="73" t="s">
        <v>0</v>
      </c>
      <c r="B1" s="5"/>
      <c r="C1" s="5"/>
      <c r="D1" s="5"/>
      <c r="E1" s="4"/>
      <c r="F1" s="4"/>
      <c r="G1" s="4"/>
      <c r="H1" s="5"/>
      <c r="I1" s="4"/>
      <c r="J1" s="4"/>
      <c r="K1" s="5"/>
      <c r="L1" s="5"/>
      <c r="M1" s="5"/>
      <c r="N1" s="5"/>
    </row>
    <row r="2" spans="1:14" ht="15" customHeight="1">
      <c r="A2" s="74" t="s">
        <v>1</v>
      </c>
      <c r="B2" s="5"/>
      <c r="C2" s="5"/>
      <c r="D2" s="5"/>
      <c r="E2" s="4"/>
      <c r="F2" s="4"/>
      <c r="G2" s="4"/>
      <c r="H2" s="5"/>
      <c r="I2" s="4"/>
      <c r="J2" s="4"/>
      <c r="K2" s="5"/>
      <c r="L2" s="5"/>
      <c r="M2" s="5"/>
      <c r="N2" s="5"/>
    </row>
    <row r="3" spans="1:14" ht="15.75" customHeight="1">
      <c r="A3" s="7" t="s">
        <v>2</v>
      </c>
      <c r="B3" s="8" t="s">
        <v>3</v>
      </c>
      <c r="C3" s="75">
        <f ca="1">TODAY()</f>
        <v>46107</v>
      </c>
      <c r="D3" s="76"/>
      <c r="E3" s="4"/>
      <c r="F3" s="4"/>
      <c r="G3" s="4"/>
      <c r="H3" s="5"/>
      <c r="I3" s="4"/>
      <c r="J3" s="4"/>
      <c r="K3" s="5"/>
      <c r="L3" s="5"/>
      <c r="M3" s="5"/>
      <c r="N3" s="5"/>
    </row>
    <row r="4" spans="1:14" ht="19.5" customHeight="1">
      <c r="A4" s="171" t="s">
        <v>50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</row>
    <row r="5" spans="1:14" ht="21" customHeight="1">
      <c r="A5" s="77"/>
      <c r="B5" s="5"/>
      <c r="C5" s="5"/>
      <c r="D5" s="5"/>
      <c r="E5" s="4"/>
      <c r="F5" s="4"/>
      <c r="G5" s="4"/>
      <c r="H5" s="5"/>
      <c r="I5" s="4"/>
      <c r="J5" s="4"/>
      <c r="K5" s="5"/>
      <c r="L5" s="5"/>
      <c r="M5" s="5"/>
      <c r="N5" s="5"/>
    </row>
    <row r="6" spans="1:14" ht="18.75" customHeight="1">
      <c r="A6" s="172" t="s">
        <v>5</v>
      </c>
      <c r="B6" s="172"/>
      <c r="C6" s="172"/>
      <c r="D6" s="172"/>
      <c r="E6" s="172"/>
      <c r="F6" s="172"/>
      <c r="G6" s="172"/>
      <c r="H6" s="172"/>
      <c r="I6" s="172"/>
      <c r="J6" s="4"/>
      <c r="K6" s="5"/>
      <c r="L6" s="5"/>
      <c r="M6" s="5"/>
      <c r="N6" s="5"/>
    </row>
    <row r="7" spans="1:14" ht="15" hidden="1" customHeight="1">
      <c r="A7" s="165" t="s">
        <v>51</v>
      </c>
      <c r="B7" s="165"/>
      <c r="C7" s="78">
        <f>SUM(Tabela2[VALOR TOTAL (R$)])</f>
        <v>167793.31000000003</v>
      </c>
      <c r="G7" s="4"/>
      <c r="H7" s="5"/>
      <c r="I7" s="4"/>
      <c r="J7" s="4"/>
      <c r="K7" s="5"/>
      <c r="L7" s="5"/>
      <c r="M7" s="5"/>
      <c r="N7" s="5"/>
    </row>
    <row r="8" spans="1:14" ht="15" customHeight="1">
      <c r="A8" s="164" t="s">
        <v>52</v>
      </c>
      <c r="B8" s="164"/>
      <c r="C8" s="79">
        <f>SUM(Tabela2[VALOR TOTAL (R$)])</f>
        <v>167793.31000000003</v>
      </c>
      <c r="E8" s="16" t="s">
        <v>8</v>
      </c>
      <c r="F8" s="80">
        <f ca="1">SUMIF(F15:F29,"Boleto",M15:M29)</f>
        <v>43756.04</v>
      </c>
      <c r="G8" s="4"/>
      <c r="H8" s="12" t="s">
        <v>53</v>
      </c>
      <c r="I8" s="81">
        <f ca="1">F10/C8</f>
        <v>0.73498275944374647</v>
      </c>
      <c r="J8" s="4"/>
      <c r="K8" s="5"/>
      <c r="L8" s="5"/>
      <c r="M8" s="5"/>
      <c r="N8" s="5"/>
    </row>
    <row r="9" spans="1:14" ht="15" customHeight="1">
      <c r="A9" s="165" t="s">
        <v>54</v>
      </c>
      <c r="B9" s="165"/>
      <c r="C9" s="82">
        <f ca="1">SUMIF(J15:J30,"Em Aberto",H15:H30)</f>
        <v>31823.43</v>
      </c>
      <c r="D9" s="5"/>
      <c r="E9" s="16" t="s">
        <v>13</v>
      </c>
      <c r="F9" s="80">
        <f ca="1">SUMIF(F15:F30,"Depósito",M15:M30)</f>
        <v>79569.149999999994</v>
      </c>
      <c r="G9" s="4"/>
      <c r="H9" s="12" t="s">
        <v>55</v>
      </c>
      <c r="I9" s="81">
        <f ca="1">C9/C8</f>
        <v>0.1896585149908539</v>
      </c>
      <c r="J9" s="4"/>
      <c r="K9" s="5"/>
      <c r="L9" s="5"/>
      <c r="M9" s="5"/>
      <c r="N9" s="5"/>
    </row>
    <row r="10" spans="1:14" ht="15" customHeight="1">
      <c r="A10" s="165" t="s">
        <v>56</v>
      </c>
      <c r="B10" s="165"/>
      <c r="C10" s="82">
        <f ca="1">SUMIF(J16:J31,"Atrasado",H16:H31)</f>
        <v>12590.75</v>
      </c>
      <c r="D10" s="5"/>
      <c r="E10" s="74" t="s">
        <v>57</v>
      </c>
      <c r="F10" s="79">
        <f ca="1">SUM(F8:F9)</f>
        <v>123325.19</v>
      </c>
      <c r="G10" s="4"/>
      <c r="H10" s="12" t="s">
        <v>14</v>
      </c>
      <c r="I10" s="81">
        <f ca="1">C10/C8</f>
        <v>7.5037258636831222E-2</v>
      </c>
      <c r="J10" s="4"/>
      <c r="K10" s="5"/>
      <c r="L10" s="5"/>
      <c r="M10" s="5"/>
      <c r="N10" s="5"/>
    </row>
    <row r="11" spans="1:14" ht="26.25" customHeight="1">
      <c r="A11" s="28"/>
      <c r="B11" s="29"/>
      <c r="C11" s="5"/>
      <c r="D11" s="5"/>
      <c r="E11" s="4"/>
      <c r="F11" s="4"/>
      <c r="G11" s="4"/>
      <c r="H11" s="5"/>
      <c r="I11" s="4"/>
      <c r="J11" s="4"/>
      <c r="K11" s="5"/>
      <c r="L11" s="5"/>
      <c r="M11" s="5"/>
      <c r="N11" s="5"/>
    </row>
    <row r="12" spans="1:14" ht="6.75" customHeight="1">
      <c r="A12" s="170"/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</row>
    <row r="13" spans="1:14" ht="9" customHeight="1">
      <c r="A13" s="77"/>
      <c r="B13" s="5"/>
      <c r="C13" s="5"/>
      <c r="D13" s="5"/>
      <c r="E13" s="4"/>
      <c r="F13" s="4"/>
      <c r="G13" s="4"/>
      <c r="H13" s="5"/>
      <c r="I13" s="4"/>
      <c r="J13" s="33"/>
      <c r="K13" s="5"/>
      <c r="L13" s="5"/>
      <c r="M13" s="34"/>
      <c r="N13" s="5"/>
    </row>
    <row r="14" spans="1:14" s="35" customFormat="1" ht="24.75" customHeight="1">
      <c r="A14" s="83" t="s">
        <v>16</v>
      </c>
      <c r="B14" s="83" t="s">
        <v>58</v>
      </c>
      <c r="C14" s="83" t="s">
        <v>18</v>
      </c>
      <c r="D14" s="83" t="s">
        <v>19</v>
      </c>
      <c r="E14" s="83" t="s">
        <v>20</v>
      </c>
      <c r="F14" s="83" t="s">
        <v>59</v>
      </c>
      <c r="G14" s="83" t="s">
        <v>21</v>
      </c>
      <c r="H14" s="83" t="s">
        <v>22</v>
      </c>
      <c r="I14" s="83" t="s">
        <v>60</v>
      </c>
      <c r="J14" s="83" t="s">
        <v>24</v>
      </c>
      <c r="K14" s="83" t="s">
        <v>61</v>
      </c>
      <c r="L14" s="83" t="s">
        <v>62</v>
      </c>
      <c r="M14" s="83" t="s">
        <v>27</v>
      </c>
      <c r="N14" s="83" t="s">
        <v>28</v>
      </c>
    </row>
    <row r="15" spans="1:14" ht="14.25" customHeight="1">
      <c r="A15" s="84">
        <v>1</v>
      </c>
      <c r="B15" s="85" t="s">
        <v>63</v>
      </c>
      <c r="C15" s="85" t="s">
        <v>64</v>
      </c>
      <c r="D15" s="85" t="s">
        <v>65</v>
      </c>
      <c r="E15" s="86">
        <v>46054</v>
      </c>
      <c r="F15" s="87" t="s">
        <v>40</v>
      </c>
      <c r="G15" s="86">
        <v>46082</v>
      </c>
      <c r="H15" s="85">
        <v>896.25</v>
      </c>
      <c r="I15" s="86">
        <v>46082</v>
      </c>
      <c r="J15" s="87" t="str">
        <f t="shared" ref="J15:J27" ca="1" si="0">IF(I15&gt;0,"Quitado",IF(AND(TODAY()&gt;G15,I15=0),"Atrasado","Em Aberto"))</f>
        <v>Quitado</v>
      </c>
      <c r="K15" s="88">
        <v>0</v>
      </c>
      <c r="L15" s="88">
        <v>0</v>
      </c>
      <c r="M15" s="85">
        <f t="shared" ref="M15:M27" ca="1" si="1">IF(J15="Quitado",H15-K15+L15,"")</f>
        <v>896.25</v>
      </c>
      <c r="N15" s="89"/>
    </row>
    <row r="16" spans="1:14" ht="14.25" customHeight="1">
      <c r="A16" s="90">
        <v>42</v>
      </c>
      <c r="B16" s="50" t="s">
        <v>33</v>
      </c>
      <c r="C16" s="50" t="s">
        <v>66</v>
      </c>
      <c r="D16" s="51" t="s">
        <v>65</v>
      </c>
      <c r="E16" s="52">
        <v>46058</v>
      </c>
      <c r="F16" s="54" t="s">
        <v>32</v>
      </c>
      <c r="G16" s="52">
        <v>46085</v>
      </c>
      <c r="H16" s="57">
        <v>350</v>
      </c>
      <c r="I16" s="91"/>
      <c r="J16" s="63" t="str">
        <f t="shared" ca="1" si="0"/>
        <v>Atrasado</v>
      </c>
      <c r="K16" s="92"/>
      <c r="L16" s="92"/>
      <c r="M16" s="93" t="str">
        <f t="shared" ca="1" si="1"/>
        <v/>
      </c>
      <c r="N16" s="93"/>
    </row>
    <row r="17" spans="1:14" ht="14.25" customHeight="1">
      <c r="A17" s="84">
        <v>2</v>
      </c>
      <c r="B17" s="85" t="s">
        <v>34</v>
      </c>
      <c r="C17" s="94" t="s">
        <v>67</v>
      </c>
      <c r="D17" s="85" t="s">
        <v>65</v>
      </c>
      <c r="E17" s="86">
        <v>46062</v>
      </c>
      <c r="F17" s="87" t="s">
        <v>40</v>
      </c>
      <c r="G17" s="86">
        <v>46086</v>
      </c>
      <c r="H17" s="85">
        <v>419.25</v>
      </c>
      <c r="I17" s="86">
        <v>46086</v>
      </c>
      <c r="J17" s="87" t="str">
        <f t="shared" ca="1" si="0"/>
        <v>Quitado</v>
      </c>
      <c r="K17" s="88">
        <v>0</v>
      </c>
      <c r="L17" s="88">
        <v>0</v>
      </c>
      <c r="M17" s="85">
        <f t="shared" ca="1" si="1"/>
        <v>419.25</v>
      </c>
      <c r="N17" s="89"/>
    </row>
    <row r="18" spans="1:14" ht="14.25" customHeight="1">
      <c r="A18" s="90">
        <v>35</v>
      </c>
      <c r="B18" s="50" t="s">
        <v>35</v>
      </c>
      <c r="C18" s="50" t="s">
        <v>68</v>
      </c>
      <c r="D18" s="51" t="s">
        <v>65</v>
      </c>
      <c r="E18" s="52">
        <v>46070</v>
      </c>
      <c r="F18" s="54" t="s">
        <v>40</v>
      </c>
      <c r="G18" s="52">
        <v>46096</v>
      </c>
      <c r="H18" s="50">
        <v>689.27</v>
      </c>
      <c r="I18" s="91"/>
      <c r="J18" s="63" t="str">
        <f t="shared" ca="1" si="0"/>
        <v>Atrasado</v>
      </c>
      <c r="K18" s="92"/>
      <c r="L18" s="92"/>
      <c r="M18" s="93" t="str">
        <f t="shared" ca="1" si="1"/>
        <v/>
      </c>
      <c r="N18" s="93"/>
    </row>
    <row r="19" spans="1:14" ht="14.25" customHeight="1">
      <c r="A19" s="84">
        <v>15</v>
      </c>
      <c r="B19" s="94" t="s">
        <v>69</v>
      </c>
      <c r="C19" s="85" t="s">
        <v>70</v>
      </c>
      <c r="D19" s="85" t="s">
        <v>71</v>
      </c>
      <c r="E19" s="86">
        <v>46070</v>
      </c>
      <c r="F19" s="87" t="s">
        <v>40</v>
      </c>
      <c r="G19" s="86">
        <v>46094</v>
      </c>
      <c r="H19" s="95">
        <v>29863.89</v>
      </c>
      <c r="I19" s="86">
        <v>46096</v>
      </c>
      <c r="J19" s="87" t="str">
        <f t="shared" ca="1" si="0"/>
        <v>Quitado</v>
      </c>
      <c r="K19" s="88">
        <v>0</v>
      </c>
      <c r="L19" s="88">
        <v>35.06</v>
      </c>
      <c r="M19" s="95">
        <f t="shared" ca="1" si="1"/>
        <v>29898.95</v>
      </c>
      <c r="N19" s="89"/>
    </row>
    <row r="20" spans="1:14" ht="14.25" customHeight="1">
      <c r="A20" s="90">
        <v>153</v>
      </c>
      <c r="B20" s="50" t="s">
        <v>72</v>
      </c>
      <c r="C20" s="50" t="s">
        <v>73</v>
      </c>
      <c r="D20" s="51" t="s">
        <v>74</v>
      </c>
      <c r="E20" s="52">
        <v>46078</v>
      </c>
      <c r="F20" s="54" t="s">
        <v>32</v>
      </c>
      <c r="G20" s="52">
        <v>46101</v>
      </c>
      <c r="H20" s="53">
        <v>8651.59</v>
      </c>
      <c r="I20" s="91"/>
      <c r="J20" s="63" t="str">
        <f t="shared" ca="1" si="0"/>
        <v>Atrasado</v>
      </c>
      <c r="K20" s="92"/>
      <c r="L20" s="92"/>
      <c r="M20" s="93" t="str">
        <f t="shared" ca="1" si="1"/>
        <v/>
      </c>
      <c r="N20" s="93"/>
    </row>
    <row r="21" spans="1:14" ht="14.25" customHeight="1">
      <c r="A21" s="84">
        <v>23</v>
      </c>
      <c r="B21" s="85" t="s">
        <v>75</v>
      </c>
      <c r="C21" s="85" t="s">
        <v>76</v>
      </c>
      <c r="D21" s="85" t="s">
        <v>65</v>
      </c>
      <c r="E21" s="86">
        <v>46076</v>
      </c>
      <c r="F21" s="87" t="s">
        <v>32</v>
      </c>
      <c r="G21" s="86">
        <v>46086</v>
      </c>
      <c r="H21" s="95">
        <v>79569.149999999994</v>
      </c>
      <c r="I21" s="86">
        <v>46082</v>
      </c>
      <c r="J21" s="87" t="str">
        <f t="shared" ca="1" si="0"/>
        <v>Quitado</v>
      </c>
      <c r="K21" s="88"/>
      <c r="L21" s="88"/>
      <c r="M21" s="95">
        <f t="shared" ca="1" si="1"/>
        <v>79569.149999999994</v>
      </c>
      <c r="N21" s="89"/>
    </row>
    <row r="22" spans="1:14" ht="14.25" customHeight="1">
      <c r="A22" s="90">
        <v>58</v>
      </c>
      <c r="B22" s="50" t="s">
        <v>43</v>
      </c>
      <c r="C22" s="50" t="s">
        <v>77</v>
      </c>
      <c r="D22" s="51" t="s">
        <v>78</v>
      </c>
      <c r="E22" s="52">
        <v>46073</v>
      </c>
      <c r="F22" s="54" t="s">
        <v>40</v>
      </c>
      <c r="G22" s="52">
        <v>46101</v>
      </c>
      <c r="H22" s="53">
        <v>2899.89</v>
      </c>
      <c r="I22" s="91"/>
      <c r="J22" s="63" t="str">
        <f t="shared" ca="1" si="0"/>
        <v>Atrasado</v>
      </c>
      <c r="K22" s="92"/>
      <c r="L22" s="92"/>
      <c r="M22" s="93" t="str">
        <f t="shared" ca="1" si="1"/>
        <v/>
      </c>
      <c r="N22" s="93"/>
    </row>
    <row r="23" spans="1:14" ht="14.25" customHeight="1">
      <c r="A23" s="84">
        <v>136</v>
      </c>
      <c r="B23" s="85" t="s">
        <v>79</v>
      </c>
      <c r="C23" s="85" t="s">
        <v>70</v>
      </c>
      <c r="D23" s="85" t="s">
        <v>71</v>
      </c>
      <c r="E23" s="86">
        <v>46074</v>
      </c>
      <c r="F23" s="87" t="s">
        <v>40</v>
      </c>
      <c r="G23" s="86">
        <v>46096</v>
      </c>
      <c r="H23" s="95">
        <v>12630.59</v>
      </c>
      <c r="I23" s="86">
        <v>45823</v>
      </c>
      <c r="J23" s="87" t="str">
        <f t="shared" ca="1" si="0"/>
        <v>Quitado</v>
      </c>
      <c r="K23" s="88">
        <v>89</v>
      </c>
      <c r="L23" s="88">
        <v>0</v>
      </c>
      <c r="M23" s="95">
        <f t="shared" ca="1" si="1"/>
        <v>12541.59</v>
      </c>
      <c r="N23" s="89"/>
    </row>
    <row r="24" spans="1:14" ht="14.25" customHeight="1">
      <c r="A24" s="90">
        <v>8956</v>
      </c>
      <c r="B24" s="50" t="s">
        <v>45</v>
      </c>
      <c r="C24" s="50" t="s">
        <v>80</v>
      </c>
      <c r="D24" s="51" t="s">
        <v>74</v>
      </c>
      <c r="E24" s="52">
        <v>46073</v>
      </c>
      <c r="F24" s="54" t="s">
        <v>40</v>
      </c>
      <c r="G24" s="52">
        <v>46112</v>
      </c>
      <c r="H24" s="57">
        <v>399</v>
      </c>
      <c r="I24" s="91"/>
      <c r="J24" s="63" t="str">
        <f t="shared" ca="1" si="0"/>
        <v>Em Aberto</v>
      </c>
      <c r="K24" s="92"/>
      <c r="L24" s="92"/>
      <c r="M24" s="93" t="str">
        <f t="shared" ca="1" si="1"/>
        <v/>
      </c>
      <c r="N24" s="93"/>
    </row>
    <row r="25" spans="1:14" ht="14.25" customHeight="1">
      <c r="A25" s="84">
        <v>835</v>
      </c>
      <c r="B25" s="85" t="s">
        <v>81</v>
      </c>
      <c r="C25" s="85" t="s">
        <v>70</v>
      </c>
      <c r="D25" s="85" t="s">
        <v>71</v>
      </c>
      <c r="E25" s="86">
        <v>46078</v>
      </c>
      <c r="F25" s="87" t="s">
        <v>40</v>
      </c>
      <c r="G25" s="86">
        <v>46110</v>
      </c>
      <c r="H25" s="95">
        <v>4659.54</v>
      </c>
      <c r="I25" s="86"/>
      <c r="J25" s="87" t="str">
        <f t="shared" ca="1" si="0"/>
        <v>Em Aberto</v>
      </c>
      <c r="K25" s="88"/>
      <c r="L25" s="88"/>
      <c r="M25" s="95" t="str">
        <f t="shared" ca="1" si="1"/>
        <v/>
      </c>
      <c r="N25" s="89"/>
    </row>
    <row r="26" spans="1:14" ht="14.25" customHeight="1">
      <c r="A26" s="90">
        <v>5369</v>
      </c>
      <c r="B26" s="50" t="s">
        <v>46</v>
      </c>
      <c r="C26" s="50" t="s">
        <v>82</v>
      </c>
      <c r="D26" s="51" t="s">
        <v>65</v>
      </c>
      <c r="E26" s="52">
        <v>46081</v>
      </c>
      <c r="F26" s="54" t="s">
        <v>32</v>
      </c>
      <c r="G26" s="52">
        <v>46112</v>
      </c>
      <c r="H26" s="57">
        <v>639.20000000000005</v>
      </c>
      <c r="I26" s="52"/>
      <c r="J26" s="63" t="str">
        <f t="shared" ca="1" si="0"/>
        <v>Em Aberto</v>
      </c>
      <c r="K26" s="92"/>
      <c r="L26" s="92"/>
      <c r="M26" s="57" t="str">
        <f t="shared" ca="1" si="1"/>
        <v/>
      </c>
      <c r="N26" s="93"/>
    </row>
    <row r="27" spans="1:14" ht="14.25" customHeight="1">
      <c r="A27" s="96">
        <v>2588</v>
      </c>
      <c r="B27" s="97" t="s">
        <v>83</v>
      </c>
      <c r="C27" s="97" t="s">
        <v>84</v>
      </c>
      <c r="D27" s="85" t="s">
        <v>65</v>
      </c>
      <c r="E27" s="98">
        <v>46080</v>
      </c>
      <c r="F27" s="87" t="s">
        <v>32</v>
      </c>
      <c r="G27" s="98">
        <v>46110</v>
      </c>
      <c r="H27" s="99">
        <v>26125.69</v>
      </c>
      <c r="I27" s="98"/>
      <c r="J27" s="100" t="str">
        <f t="shared" ca="1" si="0"/>
        <v>Em Aberto</v>
      </c>
      <c r="K27" s="101"/>
      <c r="L27" s="101"/>
      <c r="M27" s="99" t="str">
        <f t="shared" ca="1" si="1"/>
        <v/>
      </c>
      <c r="N27" s="102"/>
    </row>
    <row r="35" spans="7:14">
      <c r="N35" s="103" t="s">
        <v>49</v>
      </c>
    </row>
    <row r="36" spans="7:14">
      <c r="J36" s="104"/>
    </row>
    <row r="42" spans="7:14" ht="15" customHeight="1">
      <c r="G42" s="3">
        <v>4</v>
      </c>
    </row>
  </sheetData>
  <sheetProtection algorithmName="SHA-512" hashValue="fyMe0e+rqyPNO697J6fLw3ckz75jsDxv+VhQMAJlO2ZecZCWDJ9YX+lbvwac3WG8lj+hRzU5tFOsbsPw5MWseg==" saltValue="zhHHG9MwG64NHfp/Wur2CA==" spinCount="100000" sheet="1" formatCells="0" formatColumns="0" formatRows="0" insertRows="0" deleteColumns="0" deleteRows="0" sort="0" autoFilter="0" pivotTables="0"/>
  <mergeCells count="7">
    <mergeCell ref="A10:B10"/>
    <mergeCell ref="A12:N12"/>
    <mergeCell ref="A4:N4"/>
    <mergeCell ref="A6:I6"/>
    <mergeCell ref="A7:B7"/>
    <mergeCell ref="A8:B8"/>
    <mergeCell ref="A9:B9"/>
  </mergeCells>
  <conditionalFormatting sqref="J1:J3 J5:J11 J13:J1048576">
    <cfRule type="containsText" dxfId="2" priority="2" operator="containsText" text="Em Aberto">
      <formula>NOT(ISERROR(SEARCH("Em Aberto",J1)))</formula>
    </cfRule>
  </conditionalFormatting>
  <conditionalFormatting sqref="J1:J3 J5:J11 J13:J1048576">
    <cfRule type="containsText" dxfId="1" priority="3" operator="containsText" text="Atrasado">
      <formula>NOT(ISERROR(SEARCH("Atrasado",J1)))</formula>
    </cfRule>
  </conditionalFormatting>
  <conditionalFormatting sqref="J1:J3 J5:J11 J13:J1048576">
    <cfRule type="containsText" dxfId="0" priority="4" operator="containsText" text="Quitado">
      <formula>NOT(ISERROR(SEARCH("Quitado",J1)))</formula>
    </cfRule>
  </conditionalFormatting>
  <dataValidations count="2">
    <dataValidation type="list" allowBlank="1" showInputMessage="1" showErrorMessage="1" sqref="D15:D27" xr:uid="{00B300BC-00B5-4242-89CA-002F005E002E}">
      <formula1>"Administrativo,Financeiro,Investimento,Operacional"</formula1>
      <formula2>0</formula2>
    </dataValidation>
    <dataValidation type="list" allowBlank="1" showInputMessage="1" showErrorMessage="1" sqref="F15:F27" xr:uid="{008800B3-00CE-4224-8606-00E000D40014}">
      <formula1>"Boleto,Depósito"</formula1>
      <formula2>0</formula2>
    </dataValidation>
  </dataValidations>
  <pageMargins left="0.7" right="0.7" top="0.75" bottom="0.75" header="0.51181102362204689" footer="0.51181102362204689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14999847407452621"/>
    <pageSetUpPr fitToPage="1"/>
  </sheetPr>
  <dimension ref="A1:S79"/>
  <sheetViews>
    <sheetView showGridLines="0" tabSelected="1" workbookViewId="0">
      <selection activeCell="O3" sqref="O3"/>
    </sheetView>
  </sheetViews>
  <sheetFormatPr defaultColWidth="8.5703125" defaultRowHeight="15.75"/>
  <cols>
    <col min="1" max="1" width="1.42578125" style="105" customWidth="1"/>
    <col min="2" max="4" width="13.42578125" style="2" customWidth="1"/>
    <col min="5" max="5" width="16.85546875" style="2" customWidth="1"/>
    <col min="6" max="6" width="1.85546875" style="2" customWidth="1"/>
    <col min="7" max="10" width="13.42578125" style="2" customWidth="1"/>
    <col min="11" max="11" width="1.85546875" style="2" customWidth="1"/>
    <col min="12" max="15" width="13.42578125" style="2" customWidth="1"/>
  </cols>
  <sheetData>
    <row r="1" spans="1:19" ht="7.5" customHeight="1">
      <c r="A1" s="106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  <c r="P1" s="2"/>
      <c r="Q1" s="2"/>
      <c r="R1" s="2"/>
      <c r="S1" s="2"/>
    </row>
    <row r="2" spans="1:19" ht="49.5" customHeight="1">
      <c r="A2" s="109"/>
      <c r="B2" s="243" t="s">
        <v>85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4"/>
      <c r="P2" s="2"/>
      <c r="Q2" s="2"/>
      <c r="R2" s="2"/>
      <c r="S2" s="2"/>
    </row>
    <row r="3" spans="1:19" ht="13.5" customHeight="1">
      <c r="A3" s="110" t="s">
        <v>86</v>
      </c>
      <c r="B3" s="245" t="s">
        <v>87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163" t="s">
        <v>88</v>
      </c>
      <c r="P3" s="2"/>
      <c r="Q3" s="2"/>
      <c r="R3" s="2"/>
      <c r="S3" s="2"/>
    </row>
    <row r="4" spans="1:19" ht="16.5" customHeight="1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3"/>
      <c r="P4" s="2"/>
      <c r="Q4" s="2"/>
      <c r="R4" s="2"/>
      <c r="S4" s="2"/>
    </row>
    <row r="5" spans="1:19" ht="22.5" customHeight="1">
      <c r="A5" s="111"/>
      <c r="B5" s="229" t="s">
        <v>89</v>
      </c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30"/>
      <c r="P5" s="2"/>
      <c r="Q5" s="2"/>
      <c r="R5" s="2"/>
      <c r="S5" s="2"/>
    </row>
    <row r="6" spans="1:19" s="3" customFormat="1" ht="33.75" customHeight="1">
      <c r="A6" s="114"/>
      <c r="B6" s="246" t="s">
        <v>90</v>
      </c>
      <c r="C6" s="247"/>
      <c r="D6" s="247"/>
      <c r="E6" s="248"/>
      <c r="F6" s="154"/>
      <c r="G6" s="249" t="s">
        <v>91</v>
      </c>
      <c r="H6" s="250"/>
      <c r="I6" s="250"/>
      <c r="J6" s="251"/>
      <c r="K6" s="153"/>
      <c r="L6" s="252" t="s">
        <v>92</v>
      </c>
      <c r="M6" s="253"/>
      <c r="N6" s="253"/>
      <c r="O6" s="254"/>
    </row>
    <row r="7" spans="1:19" s="162" customFormat="1" ht="30" customHeight="1">
      <c r="A7" s="159"/>
      <c r="B7" s="232">
        <f>_DadosAux!B1</f>
        <v>57740.65</v>
      </c>
      <c r="C7" s="233"/>
      <c r="D7" s="233"/>
      <c r="E7" s="234"/>
      <c r="F7" s="160"/>
      <c r="G7" s="235">
        <f ca="1">_DadosAux!B2</f>
        <v>12693.550000000001</v>
      </c>
      <c r="H7" s="236"/>
      <c r="I7" s="236"/>
      <c r="J7" s="237"/>
      <c r="K7" s="161"/>
      <c r="L7" s="238">
        <f ca="1">_DadosAux!B33</f>
        <v>17543.66</v>
      </c>
      <c r="M7" s="239"/>
      <c r="N7" s="239"/>
      <c r="O7" s="240"/>
    </row>
    <row r="8" spans="1:19" ht="21.75" hidden="1" customHeight="1">
      <c r="A8" s="111"/>
      <c r="B8" s="241" t="s">
        <v>93</v>
      </c>
      <c r="C8" s="216"/>
      <c r="D8" s="216"/>
      <c r="E8" s="216"/>
      <c r="F8" s="155"/>
      <c r="G8" s="242" t="s">
        <v>94</v>
      </c>
      <c r="H8" s="216"/>
      <c r="I8" s="216"/>
      <c r="J8" s="216"/>
      <c r="K8" s="112"/>
      <c r="L8" s="216" t="s">
        <v>95</v>
      </c>
      <c r="M8" s="216"/>
      <c r="N8" s="216"/>
      <c r="O8" s="217"/>
      <c r="P8" s="2"/>
      <c r="Q8" s="2"/>
      <c r="R8" s="2"/>
      <c r="S8" s="2"/>
    </row>
    <row r="9" spans="1:19" ht="19.5" customHeight="1">
      <c r="A9" s="111"/>
      <c r="B9" s="226"/>
      <c r="C9" s="203"/>
      <c r="D9" s="203"/>
      <c r="E9" s="203"/>
      <c r="F9" s="155"/>
      <c r="G9" s="227">
        <f ca="1">IFERROR(_DadosAux!B2/_DadosAux!B1,0)</f>
        <v>0.21983732431138203</v>
      </c>
      <c r="H9" s="228"/>
      <c r="I9" s="228"/>
      <c r="J9" s="228"/>
      <c r="K9" s="112"/>
      <c r="L9" s="218">
        <f ca="1">IFERROR(_DadosAux!B33/_DadosAux!B1,0)</f>
        <v>0.3038355127626724</v>
      </c>
      <c r="M9" s="218"/>
      <c r="N9" s="218"/>
      <c r="O9" s="219"/>
      <c r="P9" s="2"/>
      <c r="Q9" s="2"/>
      <c r="R9" s="2"/>
      <c r="S9" s="2"/>
    </row>
    <row r="10" spans="1:19" ht="19.5" customHeight="1">
      <c r="A10" s="111"/>
      <c r="B10" s="156"/>
      <c r="C10" s="157"/>
      <c r="D10" s="157"/>
      <c r="E10" s="157"/>
      <c r="F10" s="158"/>
      <c r="G10" s="117"/>
      <c r="H10" s="117"/>
      <c r="I10" s="117"/>
      <c r="J10" s="117"/>
      <c r="K10" s="112"/>
      <c r="L10" s="118"/>
      <c r="M10" s="118"/>
      <c r="N10" s="118"/>
      <c r="O10" s="119"/>
      <c r="P10" s="2"/>
      <c r="Q10" s="2"/>
      <c r="R10" s="2"/>
      <c r="S10" s="2"/>
    </row>
    <row r="11" spans="1:19" ht="25.5" customHeight="1">
      <c r="A11" s="111"/>
      <c r="B11" s="229" t="s">
        <v>96</v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30"/>
      <c r="P11" s="2"/>
      <c r="Q11" s="2"/>
      <c r="R11" s="2"/>
      <c r="S11" s="2"/>
    </row>
    <row r="12" spans="1:19" s="3" customFormat="1" ht="33.75" customHeight="1">
      <c r="A12" s="114"/>
      <c r="B12" s="221" t="s">
        <v>97</v>
      </c>
      <c r="C12" s="221"/>
      <c r="D12" s="221"/>
      <c r="E12" s="221"/>
      <c r="F12" s="153"/>
      <c r="G12" s="231" t="s">
        <v>98</v>
      </c>
      <c r="H12" s="231"/>
      <c r="I12" s="231"/>
      <c r="J12" s="231"/>
      <c r="K12" s="153"/>
      <c r="L12" s="221" t="s">
        <v>99</v>
      </c>
      <c r="M12" s="221"/>
      <c r="N12" s="221"/>
      <c r="O12" s="222"/>
    </row>
    <row r="13" spans="1:19" s="162" customFormat="1" ht="30" customHeight="1">
      <c r="A13" s="159"/>
      <c r="B13" s="223">
        <f>_DadosAux!B15</f>
        <v>167793.31000000003</v>
      </c>
      <c r="C13" s="223"/>
      <c r="D13" s="223"/>
      <c r="E13" s="223"/>
      <c r="F13" s="161"/>
      <c r="G13" s="223">
        <f ca="1">_DadosAux!B16</f>
        <v>123325.19</v>
      </c>
      <c r="H13" s="223"/>
      <c r="I13" s="223"/>
      <c r="J13" s="223"/>
      <c r="K13" s="161"/>
      <c r="L13" s="224">
        <f ca="1">_DadosAux!B34</f>
        <v>44414.18</v>
      </c>
      <c r="M13" s="224"/>
      <c r="N13" s="224"/>
      <c r="O13" s="225"/>
    </row>
    <row r="14" spans="1:19" ht="21.75" hidden="1" customHeight="1">
      <c r="A14" s="111"/>
      <c r="B14" s="216" t="s">
        <v>100</v>
      </c>
      <c r="C14" s="216"/>
      <c r="D14" s="216"/>
      <c r="E14" s="216"/>
      <c r="F14" s="112"/>
      <c r="G14" s="216" t="s">
        <v>101</v>
      </c>
      <c r="H14" s="216"/>
      <c r="I14" s="216"/>
      <c r="J14" s="216"/>
      <c r="K14" s="112"/>
      <c r="L14" s="216" t="s">
        <v>102</v>
      </c>
      <c r="M14" s="216"/>
      <c r="N14" s="216"/>
      <c r="O14" s="217"/>
      <c r="P14" s="2"/>
      <c r="Q14" s="2"/>
      <c r="R14" s="2"/>
      <c r="S14" s="2"/>
    </row>
    <row r="15" spans="1:19" ht="13.5" customHeight="1">
      <c r="A15" s="111"/>
      <c r="B15" s="203"/>
      <c r="C15" s="203"/>
      <c r="D15" s="203"/>
      <c r="E15" s="203"/>
      <c r="F15" s="112"/>
      <c r="G15" s="218">
        <f ca="1">IFERROR(_DadosAux!B16/_DadosAux!B15,0)</f>
        <v>0.73498275944374647</v>
      </c>
      <c r="H15" s="218"/>
      <c r="I15" s="218"/>
      <c r="J15" s="218"/>
      <c r="K15" s="112"/>
      <c r="L15" s="218">
        <f ca="1">IFERROR(_DadosAux!B34/_DadosAux!B15,0)</f>
        <v>0.26469577362768509</v>
      </c>
      <c r="M15" s="218"/>
      <c r="N15" s="218"/>
      <c r="O15" s="219"/>
      <c r="P15" s="2"/>
      <c r="Q15" s="2"/>
      <c r="R15" s="2"/>
      <c r="S15" s="2"/>
    </row>
    <row r="16" spans="1:19" ht="13.5" customHeight="1">
      <c r="A16" s="111"/>
      <c r="B16" s="116"/>
      <c r="C16" s="116"/>
      <c r="D16" s="116"/>
      <c r="E16" s="116"/>
      <c r="F16" s="112"/>
      <c r="G16" s="118"/>
      <c r="H16" s="118"/>
      <c r="I16" s="118"/>
      <c r="J16" s="118"/>
      <c r="K16" s="112"/>
      <c r="L16" s="118"/>
      <c r="M16" s="118"/>
      <c r="N16" s="118"/>
      <c r="O16" s="119"/>
      <c r="P16" s="2"/>
      <c r="Q16" s="2"/>
      <c r="R16" s="2"/>
      <c r="S16" s="120"/>
    </row>
    <row r="17" spans="1:16" ht="27.75" customHeight="1">
      <c r="A17" s="111"/>
      <c r="B17" s="175" t="s">
        <v>103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6"/>
      <c r="P17" s="2"/>
    </row>
    <row r="18" spans="1:16" s="3" customFormat="1" ht="33.75" customHeight="1">
      <c r="A18" s="114"/>
      <c r="B18" s="220" t="s">
        <v>104</v>
      </c>
      <c r="C18" s="220"/>
      <c r="D18" s="220"/>
      <c r="E18" s="220"/>
      <c r="F18" s="115"/>
      <c r="G18" s="221" t="s">
        <v>105</v>
      </c>
      <c r="H18" s="221"/>
      <c r="I18" s="221"/>
      <c r="J18" s="221"/>
      <c r="K18" s="115"/>
      <c r="L18" s="221" t="s">
        <v>106</v>
      </c>
      <c r="M18" s="221"/>
      <c r="N18" s="221"/>
      <c r="O18" s="222"/>
    </row>
    <row r="19" spans="1:16" ht="30" customHeight="1">
      <c r="A19" s="111"/>
      <c r="B19" s="212">
        <f ca="1">_DadosAux!B28</f>
        <v>-110631.64</v>
      </c>
      <c r="C19" s="212"/>
      <c r="D19" s="212"/>
      <c r="E19" s="212"/>
      <c r="F19" s="112"/>
      <c r="G19" s="213">
        <f ca="1">_DadosAux!B30</f>
        <v>9.7155791720992148</v>
      </c>
      <c r="H19" s="213"/>
      <c r="I19" s="213"/>
      <c r="J19" s="213"/>
      <c r="K19" s="161"/>
      <c r="L19" s="214">
        <f>_DadosAux!B35</f>
        <v>4811.7208333333338</v>
      </c>
      <c r="M19" s="214"/>
      <c r="N19" s="214"/>
      <c r="O19" s="215"/>
      <c r="P19" s="2"/>
    </row>
    <row r="20" spans="1:16" ht="21.75" hidden="1" customHeight="1">
      <c r="A20" s="111"/>
      <c r="B20" s="216" t="s">
        <v>107</v>
      </c>
      <c r="C20" s="216"/>
      <c r="D20" s="216"/>
      <c r="E20" s="216"/>
      <c r="F20" s="112"/>
      <c r="G20" s="216" t="s">
        <v>108</v>
      </c>
      <c r="H20" s="216"/>
      <c r="I20" s="216"/>
      <c r="J20" s="216"/>
      <c r="K20" s="112"/>
      <c r="L20" s="216" t="s">
        <v>109</v>
      </c>
      <c r="M20" s="216"/>
      <c r="N20" s="216"/>
      <c r="O20" s="217"/>
      <c r="P20" s="2"/>
    </row>
    <row r="21" spans="1:16" ht="14.25" customHeight="1">
      <c r="A21" s="111"/>
      <c r="B21" s="202">
        <f ca="1">IFERROR((_DadosAux!B2-_DadosAux!B16)/_DadosAux!B2,0)</f>
        <v>-8.7155791720992148</v>
      </c>
      <c r="C21" s="202"/>
      <c r="D21" s="202"/>
      <c r="E21" s="202"/>
      <c r="F21" s="112"/>
      <c r="G21" s="203"/>
      <c r="H21" s="203"/>
      <c r="I21" s="203"/>
      <c r="J21" s="203"/>
      <c r="K21" s="112"/>
      <c r="L21" s="204"/>
      <c r="M21" s="204"/>
      <c r="N21" s="204"/>
      <c r="O21" s="205"/>
      <c r="P21" s="2"/>
    </row>
    <row r="22" spans="1:16" ht="15" customHeight="1">
      <c r="A22" s="111"/>
      <c r="B22" s="121"/>
      <c r="C22" s="121"/>
      <c r="D22" s="121"/>
      <c r="E22" s="121"/>
      <c r="F22" s="112"/>
      <c r="G22" s="116"/>
      <c r="H22" s="116"/>
      <c r="I22" s="116"/>
      <c r="J22" s="116"/>
      <c r="K22" s="112"/>
      <c r="L22" s="122"/>
      <c r="M22" s="122"/>
      <c r="N22" s="122"/>
      <c r="O22" s="123"/>
      <c r="P22" s="2"/>
    </row>
    <row r="23" spans="1:16" ht="32.25" hidden="1" customHeight="1">
      <c r="A23" s="111"/>
      <c r="B23" s="206" t="s">
        <v>110</v>
      </c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7"/>
      <c r="P23" s="2"/>
    </row>
    <row r="24" spans="1:16" ht="19.5" hidden="1" customHeight="1">
      <c r="A24" s="111"/>
      <c r="B24" s="124" t="s">
        <v>111</v>
      </c>
      <c r="C24" s="208" t="str">
        <f ca="1">IFERROR("Receitas em atraso: "&amp;_DadosAux!B11&amp;" cliente(s) totalizando R$ "&amp;TEXT(_DadosAux!B4,"#,##"),"Ver aba RECEITA")</f>
        <v>Receitas em atraso: 4 cliente(s) totalizando R$ 14647,51</v>
      </c>
      <c r="D24" s="208"/>
      <c r="E24" s="208"/>
      <c r="F24" s="125"/>
      <c r="G24" s="126" t="s">
        <v>112</v>
      </c>
      <c r="H24" s="209" t="str">
        <f ca="1">IFERROR("Despesas em aberto: "&amp;_DadosAux!B26&amp;" item(ns) → R$ "&amp;TEXT(_DadosAux!B17,"#,##")&amp;" a pagar","Ver DESPESA")</f>
        <v>Despesas em aberto: 4 item(ns) → R$ 31823,43 a pagar</v>
      </c>
      <c r="I24" s="209"/>
      <c r="J24" s="209"/>
      <c r="K24" s="125"/>
      <c r="L24" s="127" t="s">
        <v>113</v>
      </c>
      <c r="M24" s="210" t="str">
        <f ca="1">IF(_DadosAux!B30&gt;1,"CRITICO: despesas superam receitas em R$ "&amp;TEXT(ABS(_DadosAux!B28),"#,##"),IF(_DadosAux!B30&gt;0.8,"ATENCAO: comprometimento acima de 80%","Comprometimento dentro do limite"))</f>
        <v>CRITICO: despesas superam receitas em R$ 110631,64</v>
      </c>
      <c r="N24" s="210"/>
      <c r="O24" s="211"/>
      <c r="P24" s="2"/>
    </row>
    <row r="25" spans="1:16" ht="19.5" hidden="1" customHeight="1">
      <c r="A25" s="111"/>
      <c r="B25" s="128" t="s">
        <v>114</v>
      </c>
      <c r="C25" s="196" t="str">
        <f ca="1">IFERROR("Despesas atrasadas: "&amp;_DadosAux!B25&amp;" item(ns) → R$ "&amp;TEXT(_DadosAux!B18,"#,##")&amp;" em risco de multa","Ver DESPESA")</f>
        <v>Despesas atrasadas: 4 item(ns) → R$ 12590,75 em risco de multa</v>
      </c>
      <c r="D25" s="196"/>
      <c r="E25" s="196"/>
      <c r="F25" s="125"/>
      <c r="G25" s="129" t="s">
        <v>115</v>
      </c>
      <c r="H25" s="197" t="str">
        <f ca="1">IF(_DadosAux!B31&gt;=0.8,"Cobrança eficiente: "&amp;TEXT(_DadosAux!B31,"0.0%")&amp;" recebido vs faturado","ATENCAO: cobrança em "&amp;TEXT(_DadosAux!B31,"0.0%")&amp;" &lt; 80%")</f>
        <v>ATENCAO: cobrança em 22% &lt; 80%</v>
      </c>
      <c r="I25" s="197"/>
      <c r="J25" s="197"/>
      <c r="K25" s="125"/>
      <c r="L25" s="130" t="s">
        <v>116</v>
      </c>
      <c r="M25" s="198" t="str">
        <f ca="1">IF(_DadosAux!B28&gt;=0,"Resultado POSITIVO: R$ "&amp;TEXT(_DadosAux!B28,"#,##")&amp;" de superavit","Resultado NEGATIVO: R$ "&amp;TEXT(ABS(_DadosAux!B28),"#,##")&amp;" de deficit")</f>
        <v>Resultado NEGATIVO: R$ 110631,64 de deficit</v>
      </c>
      <c r="N25" s="198"/>
      <c r="O25" s="199"/>
      <c r="P25" s="2"/>
    </row>
    <row r="26" spans="1:16" ht="19.5" customHeight="1">
      <c r="A26" s="11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2"/>
      <c r="P26" s="2"/>
    </row>
    <row r="27" spans="1:16" ht="33.75" customHeight="1">
      <c r="A27" s="111"/>
      <c r="B27" s="175" t="s">
        <v>117</v>
      </c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6"/>
      <c r="P27" s="2"/>
    </row>
    <row r="28" spans="1:16" ht="15.75" customHeight="1">
      <c r="A28" s="111"/>
      <c r="B28" s="200" t="s">
        <v>118</v>
      </c>
      <c r="C28" s="200"/>
      <c r="D28" s="200"/>
      <c r="E28" s="200"/>
      <c r="F28" s="200" t="s">
        <v>119</v>
      </c>
      <c r="G28" s="200"/>
      <c r="H28" s="200"/>
      <c r="I28" s="200" t="s">
        <v>120</v>
      </c>
      <c r="J28" s="200"/>
      <c r="K28" s="200"/>
      <c r="L28" s="200" t="s">
        <v>121</v>
      </c>
      <c r="M28" s="200"/>
      <c r="N28" s="200" t="s">
        <v>122</v>
      </c>
      <c r="O28" s="201"/>
      <c r="P28" s="2"/>
    </row>
    <row r="29" spans="1:16" ht="15.75" customHeight="1">
      <c r="A29" s="111"/>
      <c r="B29" s="184" t="s">
        <v>123</v>
      </c>
      <c r="C29" s="184"/>
      <c r="D29" s="184"/>
      <c r="E29" s="184"/>
      <c r="F29" s="185">
        <f>_DadosAux!B1</f>
        <v>57740.65</v>
      </c>
      <c r="G29" s="185"/>
      <c r="H29" s="185"/>
      <c r="I29" s="186">
        <f>_DadosAux!B15</f>
        <v>167793.31000000003</v>
      </c>
      <c r="J29" s="186"/>
      <c r="K29" s="186"/>
      <c r="L29" s="187">
        <f>_DadosAux!B1-_DadosAux!B15</f>
        <v>-110052.66000000003</v>
      </c>
      <c r="M29" s="187"/>
      <c r="N29" s="188">
        <f>IFERROR(_DadosAux!B1/_DadosAux!B1,0)</f>
        <v>1</v>
      </c>
      <c r="O29" s="189"/>
      <c r="P29" s="2"/>
    </row>
    <row r="30" spans="1:16" ht="15.75" customHeight="1">
      <c r="A30" s="111"/>
      <c r="B30" s="190" t="s">
        <v>124</v>
      </c>
      <c r="C30" s="190"/>
      <c r="D30" s="190"/>
      <c r="E30" s="190"/>
      <c r="F30" s="191">
        <f ca="1">_DadosAux!B2</f>
        <v>12693.550000000001</v>
      </c>
      <c r="G30" s="191"/>
      <c r="H30" s="191"/>
      <c r="I30" s="192">
        <f ca="1">_DadosAux!B16</f>
        <v>123325.19</v>
      </c>
      <c r="J30" s="192"/>
      <c r="K30" s="192"/>
      <c r="L30" s="193">
        <f ca="1">_DadosAux!B2-_DadosAux!B16</f>
        <v>-110631.64</v>
      </c>
      <c r="M30" s="193"/>
      <c r="N30" s="194">
        <f ca="1">IFERROR(_DadosAux!B2/_DadosAux!B1,0)</f>
        <v>0.21983732431138203</v>
      </c>
      <c r="O30" s="195"/>
      <c r="P30" s="2"/>
    </row>
    <row r="31" spans="1:16" ht="15.75" customHeight="1">
      <c r="A31" s="111"/>
      <c r="B31" s="184" t="s">
        <v>125</v>
      </c>
      <c r="C31" s="184"/>
      <c r="D31" s="184"/>
      <c r="E31" s="184"/>
      <c r="F31" s="185">
        <f ca="1">_DadosAux!B3</f>
        <v>2896.15</v>
      </c>
      <c r="G31" s="185"/>
      <c r="H31" s="185"/>
      <c r="I31" s="186">
        <f ca="1">_DadosAux!B17</f>
        <v>31823.43</v>
      </c>
      <c r="J31" s="186"/>
      <c r="K31" s="186"/>
      <c r="L31" s="187">
        <f ca="1">_DadosAux!B3-_DadosAux!B17</f>
        <v>-28927.279999999999</v>
      </c>
      <c r="M31" s="187"/>
      <c r="N31" s="188">
        <f ca="1">IFERROR(_DadosAux!B3/_DadosAux!B1,0)</f>
        <v>5.0157904353345523E-2</v>
      </c>
      <c r="O31" s="189"/>
      <c r="P31" s="2"/>
    </row>
    <row r="32" spans="1:16" ht="15.75" customHeight="1">
      <c r="A32" s="111"/>
      <c r="B32" s="190" t="s">
        <v>126</v>
      </c>
      <c r="C32" s="190"/>
      <c r="D32" s="190"/>
      <c r="E32" s="190"/>
      <c r="F32" s="191">
        <f ca="1">_DadosAux!B4</f>
        <v>14647.509999999998</v>
      </c>
      <c r="G32" s="191"/>
      <c r="H32" s="191"/>
      <c r="I32" s="192">
        <f ca="1">_DadosAux!B18</f>
        <v>12590.75</v>
      </c>
      <c r="J32" s="192"/>
      <c r="K32" s="192"/>
      <c r="L32" s="193">
        <f ca="1">_DadosAux!B4-_DadosAux!B18</f>
        <v>2056.7599999999984</v>
      </c>
      <c r="M32" s="193"/>
      <c r="N32" s="194">
        <f ca="1">IFERROR(_DadosAux!B4/_DadosAux!B1,0)</f>
        <v>0.25367760840932685</v>
      </c>
      <c r="O32" s="195"/>
      <c r="P32" s="2"/>
    </row>
    <row r="33" spans="1:15" ht="15.75" customHeight="1">
      <c r="A33" s="111"/>
      <c r="B33" s="184" t="s">
        <v>127</v>
      </c>
      <c r="C33" s="184"/>
      <c r="D33" s="184"/>
      <c r="E33" s="184"/>
      <c r="F33" s="185">
        <f>_DadosAux!B35</f>
        <v>4811.7208333333338</v>
      </c>
      <c r="G33" s="185"/>
      <c r="H33" s="185"/>
      <c r="I33" s="186">
        <f>_DadosAux!B36</f>
        <v>12907.177692307694</v>
      </c>
      <c r="J33" s="186"/>
      <c r="K33" s="186"/>
      <c r="L33" s="187">
        <f>_DadosAux!B35-_DadosAux!B36</f>
        <v>-8095.4568589743603</v>
      </c>
      <c r="M33" s="187"/>
      <c r="N33" s="188">
        <f>IFERROR(_DadosAux!B35/_DadosAux!B1,0)</f>
        <v>8.3333333333333343E-2</v>
      </c>
      <c r="O33" s="189"/>
    </row>
    <row r="34" spans="1:15" s="162" customFormat="1" ht="17.25" customHeight="1">
      <c r="A34" s="159"/>
      <c r="B34" s="179" t="s">
        <v>128</v>
      </c>
      <c r="C34" s="179"/>
      <c r="D34" s="179"/>
      <c r="E34" s="179"/>
      <c r="F34" s="180">
        <f>_DadosAux!B1</f>
        <v>57740.65</v>
      </c>
      <c r="G34" s="180"/>
      <c r="H34" s="180"/>
      <c r="I34" s="180">
        <f>_DadosAux!B15</f>
        <v>167793.31000000003</v>
      </c>
      <c r="J34" s="180"/>
      <c r="K34" s="180"/>
      <c r="L34" s="181">
        <f>_DadosAux!B1-_DadosAux!B15</f>
        <v>-110052.66000000003</v>
      </c>
      <c r="M34" s="181"/>
      <c r="N34" s="182">
        <f ca="1">IFERROR(_DadosAux!B2/_DadosAux!B1,0)</f>
        <v>0.21983732431138203</v>
      </c>
      <c r="O34" s="183"/>
    </row>
    <row r="35" spans="1:15" ht="15.75" customHeight="1">
      <c r="A35" s="111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 ht="26.25" customHeight="1">
      <c r="A36" s="111"/>
      <c r="B36" s="175" t="s">
        <v>129</v>
      </c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6"/>
    </row>
    <row r="37" spans="1:15" ht="18" customHeight="1">
      <c r="A37" s="111"/>
      <c r="B37" s="177" t="s">
        <v>130</v>
      </c>
      <c r="C37" s="177"/>
      <c r="D37" s="177"/>
      <c r="E37" s="177"/>
      <c r="F37" s="112"/>
      <c r="G37" s="177" t="s">
        <v>131</v>
      </c>
      <c r="H37" s="177"/>
      <c r="I37" s="177"/>
      <c r="J37" s="177"/>
      <c r="K37" s="112"/>
      <c r="L37" s="177" t="s">
        <v>132</v>
      </c>
      <c r="M37" s="177"/>
      <c r="N37" s="177"/>
      <c r="O37" s="178"/>
    </row>
    <row r="38" spans="1:15" ht="15.75" customHeight="1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 customHeight="1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.75" customHeight="1">
      <c r="A40" s="111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3"/>
    </row>
    <row r="41" spans="1:15" ht="15.75" customHeight="1">
      <c r="A41" s="111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3"/>
    </row>
    <row r="42" spans="1:15" ht="15.75" customHeight="1">
      <c r="A42" s="111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3"/>
    </row>
    <row r="43" spans="1:15" ht="15.75" customHeight="1">
      <c r="A43" s="111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3"/>
    </row>
    <row r="44" spans="1:15" ht="15.75" customHeight="1">
      <c r="A44" s="111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3"/>
    </row>
    <row r="45" spans="1:15" ht="15.75" customHeight="1">
      <c r="A45" s="111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3"/>
    </row>
    <row r="46" spans="1:15" ht="15.75" customHeight="1">
      <c r="A46" s="111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3"/>
    </row>
    <row r="47" spans="1:15" ht="15.75" customHeight="1">
      <c r="A47" s="111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3"/>
    </row>
    <row r="48" spans="1:15" ht="15.75" customHeight="1">
      <c r="A48" s="111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3"/>
    </row>
    <row r="49" spans="1:15" ht="15.75" customHeight="1">
      <c r="A49" s="111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3"/>
    </row>
    <row r="50" spans="1:15" ht="15.75" customHeight="1">
      <c r="A50" s="111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3"/>
    </row>
    <row r="51" spans="1:15" ht="15.75" customHeight="1">
      <c r="A51" s="111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3"/>
    </row>
    <row r="52" spans="1:15" ht="15.75" customHeight="1">
      <c r="A52" s="111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3"/>
    </row>
    <row r="53" spans="1:15" ht="15.75" customHeight="1">
      <c r="A53" s="111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3"/>
    </row>
    <row r="54" spans="1:15" ht="15.75" customHeight="1">
      <c r="A54" s="111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3"/>
    </row>
    <row r="55" spans="1:15" ht="15.75" customHeight="1">
      <c r="A55" s="111"/>
      <c r="B55" s="177" t="s">
        <v>133</v>
      </c>
      <c r="C55" s="177"/>
      <c r="D55" s="177"/>
      <c r="E55" s="177"/>
      <c r="F55" s="177"/>
      <c r="G55" s="177"/>
      <c r="H55" s="177"/>
      <c r="I55" s="177" t="s">
        <v>134</v>
      </c>
      <c r="J55" s="177"/>
      <c r="K55" s="177"/>
      <c r="L55" s="177"/>
      <c r="M55" s="177" t="s">
        <v>135</v>
      </c>
      <c r="N55" s="177"/>
      <c r="O55" s="178"/>
    </row>
    <row r="56" spans="1:15" ht="15.75" customHeight="1">
      <c r="A56" s="111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3"/>
    </row>
    <row r="57" spans="1:15" ht="15.75" customHeight="1">
      <c r="A57" s="111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3"/>
    </row>
    <row r="58" spans="1:15" ht="15.75" customHeight="1">
      <c r="A58" s="111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3"/>
    </row>
    <row r="59" spans="1:15" ht="15.75" customHeight="1">
      <c r="A59" s="111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3"/>
    </row>
    <row r="60" spans="1:15" ht="15.75" customHeight="1">
      <c r="A60" s="111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3"/>
    </row>
    <row r="61" spans="1:15" ht="15.7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3"/>
    </row>
    <row r="62" spans="1:15" ht="15.75" customHeight="1">
      <c r="A62" s="111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3"/>
    </row>
    <row r="63" spans="1:15" ht="15.75" customHeight="1">
      <c r="A63" s="111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3"/>
    </row>
    <row r="64" spans="1:15" ht="15.75" customHeight="1">
      <c r="A64" s="111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3"/>
    </row>
    <row r="65" spans="1:15" ht="15.75" customHeight="1">
      <c r="A65" s="111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3"/>
    </row>
    <row r="66" spans="1:15" ht="15.75" customHeight="1">
      <c r="A66" s="111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3"/>
    </row>
    <row r="67" spans="1:15" ht="15.75" customHeight="1">
      <c r="A67" s="111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3"/>
    </row>
    <row r="68" spans="1:15" ht="15.75" customHeight="1">
      <c r="A68" s="111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3"/>
    </row>
    <row r="69" spans="1:15" ht="15.75" customHeight="1">
      <c r="A69" s="111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3"/>
    </row>
    <row r="70" spans="1:15" ht="15.75" customHeight="1">
      <c r="A70" s="111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3"/>
    </row>
    <row r="71" spans="1:15" ht="9.75" customHeight="1">
      <c r="A71" s="111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3"/>
    </row>
    <row r="72" spans="1:15" ht="15" customHeight="1">
      <c r="A72" s="111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3"/>
    </row>
    <row r="73" spans="1:15">
      <c r="A73" s="111"/>
      <c r="O73" s="133"/>
    </row>
    <row r="74" spans="1:15">
      <c r="A74" s="111"/>
      <c r="O74" s="133"/>
    </row>
    <row r="75" spans="1:15">
      <c r="A75" s="111"/>
      <c r="O75" s="133"/>
    </row>
    <row r="76" spans="1:15">
      <c r="A76" s="111"/>
      <c r="O76" s="133"/>
    </row>
    <row r="77" spans="1:15">
      <c r="A77" s="111"/>
      <c r="O77" s="133"/>
    </row>
    <row r="78" spans="1:15">
      <c r="A78" s="111"/>
      <c r="O78" s="133"/>
    </row>
    <row r="79" spans="1:15">
      <c r="A79" s="134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73" t="s">
        <v>49</v>
      </c>
      <c r="O79" s="174"/>
    </row>
  </sheetData>
  <sheetProtection algorithmName="SHA-512" hashValue="mM0WwUb4ZZE/dwPQbBI37OColpMToPWheewj1f25Huq2wLKDWtnOqGJJfGTcp/DvNzyCmQOEr/hwBfcCBZ0lHg==" saltValue="bdVR9A7b84KQXVkyYneq6w==" spinCount="100000" sheet="1" formatCells="0" formatColumns="0" formatRows="0" insertColumns="0" insertRows="0" insertHyperlinks="0" deleteColumns="0" deleteRows="0" sort="0" pivotTables="0"/>
  <mergeCells count="92">
    <mergeCell ref="B2:O2"/>
    <mergeCell ref="B3:N3"/>
    <mergeCell ref="B5:O5"/>
    <mergeCell ref="B6:E6"/>
    <mergeCell ref="G6:J6"/>
    <mergeCell ref="L6:O6"/>
    <mergeCell ref="B7:E7"/>
    <mergeCell ref="G7:J7"/>
    <mergeCell ref="L7:O7"/>
    <mergeCell ref="B8:E8"/>
    <mergeCell ref="G8:J8"/>
    <mergeCell ref="L8:O8"/>
    <mergeCell ref="B9:E9"/>
    <mergeCell ref="G9:J9"/>
    <mergeCell ref="L9:O9"/>
    <mergeCell ref="B11:O11"/>
    <mergeCell ref="B12:E12"/>
    <mergeCell ref="G12:J12"/>
    <mergeCell ref="L12:O12"/>
    <mergeCell ref="B13:E13"/>
    <mergeCell ref="G13:J13"/>
    <mergeCell ref="L13:O13"/>
    <mergeCell ref="B14:E14"/>
    <mergeCell ref="G14:J14"/>
    <mergeCell ref="L14:O14"/>
    <mergeCell ref="B15:E15"/>
    <mergeCell ref="G15:J15"/>
    <mergeCell ref="L15:O15"/>
    <mergeCell ref="B17:O17"/>
    <mergeCell ref="B18:E18"/>
    <mergeCell ref="G18:J18"/>
    <mergeCell ref="L18:O18"/>
    <mergeCell ref="B19:E19"/>
    <mergeCell ref="G19:J19"/>
    <mergeCell ref="L19:O19"/>
    <mergeCell ref="B20:E20"/>
    <mergeCell ref="G20:J20"/>
    <mergeCell ref="L20:O20"/>
    <mergeCell ref="B21:E21"/>
    <mergeCell ref="G21:J21"/>
    <mergeCell ref="L21:O21"/>
    <mergeCell ref="B23:O23"/>
    <mergeCell ref="C24:E24"/>
    <mergeCell ref="H24:J24"/>
    <mergeCell ref="M24:O24"/>
    <mergeCell ref="C25:E25"/>
    <mergeCell ref="H25:J25"/>
    <mergeCell ref="M25:O25"/>
    <mergeCell ref="B27:O27"/>
    <mergeCell ref="B28:E28"/>
    <mergeCell ref="F28:H28"/>
    <mergeCell ref="I28:K28"/>
    <mergeCell ref="L28:M28"/>
    <mergeCell ref="N28:O28"/>
    <mergeCell ref="B29:E29"/>
    <mergeCell ref="F29:H29"/>
    <mergeCell ref="I29:K29"/>
    <mergeCell ref="L29:M29"/>
    <mergeCell ref="N29:O29"/>
    <mergeCell ref="B30:E30"/>
    <mergeCell ref="F30:H30"/>
    <mergeCell ref="I30:K30"/>
    <mergeCell ref="L30:M30"/>
    <mergeCell ref="N30:O30"/>
    <mergeCell ref="B31:E31"/>
    <mergeCell ref="F31:H31"/>
    <mergeCell ref="I31:K31"/>
    <mergeCell ref="L31:M31"/>
    <mergeCell ref="N31:O31"/>
    <mergeCell ref="B32:E32"/>
    <mergeCell ref="F32:H32"/>
    <mergeCell ref="I32:K32"/>
    <mergeCell ref="L32:M32"/>
    <mergeCell ref="N32:O32"/>
    <mergeCell ref="B33:E33"/>
    <mergeCell ref="F33:H33"/>
    <mergeCell ref="I33:K33"/>
    <mergeCell ref="L33:M33"/>
    <mergeCell ref="N33:O33"/>
    <mergeCell ref="B34:E34"/>
    <mergeCell ref="F34:H34"/>
    <mergeCell ref="I34:K34"/>
    <mergeCell ref="L34:M34"/>
    <mergeCell ref="N34:O34"/>
    <mergeCell ref="N79:O79"/>
    <mergeCell ref="B36:O36"/>
    <mergeCell ref="B37:E37"/>
    <mergeCell ref="G37:J37"/>
    <mergeCell ref="L37:O37"/>
    <mergeCell ref="B55:H55"/>
    <mergeCell ref="I55:L55"/>
    <mergeCell ref="M55:O55"/>
  </mergeCells>
  <printOptions verticalCentered="1"/>
  <pageMargins left="0.25" right="0.25" top="0.75" bottom="0.75" header="0.3" footer="0.3"/>
  <pageSetup paperSize="5"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</sheetPr>
  <dimension ref="A1:H68"/>
  <sheetViews>
    <sheetView showGridLines="0" topLeftCell="A31" workbookViewId="0"/>
  </sheetViews>
  <sheetFormatPr defaultColWidth="8.5703125" defaultRowHeight="15.75"/>
  <cols>
    <col min="1" max="1" width="2" style="2" customWidth="1"/>
    <col min="2" max="2" width="35" style="2" customWidth="1"/>
    <col min="3" max="3" width="55" style="2" customWidth="1"/>
    <col min="4" max="4" width="78.42578125" style="2" customWidth="1"/>
  </cols>
  <sheetData>
    <row r="1" spans="1:4" ht="7.5" customHeight="1">
      <c r="A1" s="112"/>
      <c r="B1" s="112"/>
      <c r="C1" s="112"/>
      <c r="D1" s="112"/>
    </row>
    <row r="2" spans="1:4" ht="48" customHeight="1">
      <c r="A2" s="175" t="s">
        <v>136</v>
      </c>
      <c r="B2" s="175"/>
      <c r="C2" s="175"/>
      <c r="D2" s="175"/>
    </row>
    <row r="3" spans="1:4" ht="15.75" customHeight="1">
      <c r="A3" s="256" t="s">
        <v>137</v>
      </c>
      <c r="B3" s="256"/>
      <c r="C3" s="256"/>
      <c r="D3" s="256"/>
    </row>
    <row r="4" spans="1:4" ht="25.5" customHeight="1">
      <c r="A4" s="255" t="s">
        <v>138</v>
      </c>
      <c r="B4" s="255"/>
      <c r="C4" s="255"/>
      <c r="D4" s="255"/>
    </row>
    <row r="5" spans="1:4" ht="36" customHeight="1">
      <c r="A5" s="136"/>
      <c r="B5" s="137" t="s">
        <v>139</v>
      </c>
      <c r="C5" s="138" t="s">
        <v>140</v>
      </c>
      <c r="D5" s="139" t="s">
        <v>141</v>
      </c>
    </row>
    <row r="6" spans="1:4" ht="36" customHeight="1">
      <c r="A6" s="140"/>
      <c r="B6" s="141" t="s">
        <v>142</v>
      </c>
      <c r="C6" s="142" t="s">
        <v>143</v>
      </c>
      <c r="D6" s="143" t="s">
        <v>144</v>
      </c>
    </row>
    <row r="7" spans="1:4" ht="36" customHeight="1">
      <c r="A7" s="136"/>
      <c r="B7" s="137" t="s">
        <v>145</v>
      </c>
      <c r="C7" s="138" t="s">
        <v>146</v>
      </c>
      <c r="D7" s="139" t="s">
        <v>147</v>
      </c>
    </row>
    <row r="8" spans="1:4" ht="25.5" customHeight="1">
      <c r="A8" s="255" t="s">
        <v>148</v>
      </c>
      <c r="B8" s="255"/>
      <c r="C8" s="255"/>
      <c r="D8" s="255"/>
    </row>
    <row r="9" spans="1:4" ht="36" customHeight="1">
      <c r="A9" s="136"/>
      <c r="B9" s="137" t="s">
        <v>149</v>
      </c>
      <c r="C9" s="144">
        <f>RECEITA!C7</f>
        <v>57740.65</v>
      </c>
      <c r="D9" s="139" t="s">
        <v>150</v>
      </c>
    </row>
    <row r="10" spans="1:4" ht="36" customHeight="1">
      <c r="A10" s="140"/>
      <c r="B10" s="141" t="s">
        <v>151</v>
      </c>
      <c r="C10" s="145">
        <f ca="1">RECEITA!E10</f>
        <v>12693.550000000001</v>
      </c>
      <c r="D10" s="143" t="s">
        <v>152</v>
      </c>
    </row>
    <row r="11" spans="1:4" ht="36" customHeight="1">
      <c r="A11" s="136"/>
      <c r="B11" s="137" t="s">
        <v>153</v>
      </c>
      <c r="C11" s="138">
        <f ca="1">RECEITA!C9+RECEITA!C10</f>
        <v>17543.66</v>
      </c>
      <c r="D11" s="139" t="s">
        <v>154</v>
      </c>
    </row>
    <row r="12" spans="1:4" ht="36" customHeight="1">
      <c r="A12" s="140"/>
      <c r="B12" s="141" t="s">
        <v>155</v>
      </c>
      <c r="C12" s="142">
        <f>IFERROR(B2/B1,0)</f>
        <v>0</v>
      </c>
      <c r="D12" s="143" t="s">
        <v>156</v>
      </c>
    </row>
    <row r="13" spans="1:4" ht="36" customHeight="1">
      <c r="A13" s="136"/>
      <c r="B13" s="137" t="s">
        <v>157</v>
      </c>
      <c r="C13" s="138">
        <f>COUNTA(RECEITA!A16:A27)</f>
        <v>12</v>
      </c>
      <c r="D13" s="139" t="s">
        <v>158</v>
      </c>
    </row>
    <row r="14" spans="1:4" ht="36" customHeight="1">
      <c r="A14" s="140"/>
      <c r="B14" s="141" t="s">
        <v>134</v>
      </c>
      <c r="C14" s="142">
        <f>SUMIF(RECEITA!D16:D27,"Venda",RECEITA!G16:G27)</f>
        <v>52349.5</v>
      </c>
      <c r="D14" s="143" t="s">
        <v>159</v>
      </c>
    </row>
    <row r="15" spans="1:4" ht="25.5" customHeight="1">
      <c r="A15" s="255" t="s">
        <v>160</v>
      </c>
      <c r="B15" s="255"/>
      <c r="C15" s="255"/>
      <c r="D15" s="255"/>
    </row>
    <row r="16" spans="1:4" ht="36" customHeight="1">
      <c r="A16" s="140"/>
      <c r="B16" s="141" t="s">
        <v>161</v>
      </c>
      <c r="C16" s="145">
        <f>DESPESA!C7</f>
        <v>167793.31000000003</v>
      </c>
      <c r="D16" s="143" t="s">
        <v>162</v>
      </c>
    </row>
    <row r="17" spans="1:4" ht="36" customHeight="1">
      <c r="A17" s="136"/>
      <c r="B17" s="137" t="s">
        <v>163</v>
      </c>
      <c r="C17" s="146">
        <f ca="1">DESPESA!F10</f>
        <v>123325.19</v>
      </c>
      <c r="D17" s="139" t="s">
        <v>164</v>
      </c>
    </row>
    <row r="18" spans="1:4" ht="36" customHeight="1">
      <c r="A18" s="140"/>
      <c r="B18" s="141" t="s">
        <v>165</v>
      </c>
      <c r="C18" s="145">
        <f ca="1">DESPESA!C9+DESPESA!C10</f>
        <v>44414.18</v>
      </c>
      <c r="D18" s="143" t="s">
        <v>166</v>
      </c>
    </row>
    <row r="19" spans="1:4" ht="36" customHeight="1">
      <c r="A19" s="136"/>
      <c r="B19" s="137" t="s">
        <v>167</v>
      </c>
      <c r="C19" s="138">
        <f>SUMIF(DESPESA!D15:D27,"Operacional",DESPESA!H15:H27)</f>
        <v>108688.81</v>
      </c>
      <c r="D19" s="139" t="s">
        <v>168</v>
      </c>
    </row>
    <row r="20" spans="1:4" ht="36" customHeight="1">
      <c r="A20" s="140"/>
      <c r="B20" s="141" t="s">
        <v>169</v>
      </c>
      <c r="C20" s="142">
        <f>IFERROR(B16/B15,0)</f>
        <v>0</v>
      </c>
      <c r="D20" s="143" t="s">
        <v>170</v>
      </c>
    </row>
    <row r="21" spans="1:4" ht="25.5" customHeight="1">
      <c r="A21" s="255" t="s">
        <v>171</v>
      </c>
      <c r="B21" s="255"/>
      <c r="C21" s="255"/>
      <c r="D21" s="255"/>
    </row>
    <row r="22" spans="1:4" ht="36" customHeight="1">
      <c r="A22" s="140"/>
      <c r="B22" s="141" t="s">
        <v>172</v>
      </c>
      <c r="C22" s="145">
        <f ca="1">_DadosAux!B2-_DadosAux!B16</f>
        <v>-110631.64</v>
      </c>
      <c r="D22" s="143" t="s">
        <v>173</v>
      </c>
    </row>
    <row r="23" spans="1:4" ht="36" customHeight="1">
      <c r="A23" s="136"/>
      <c r="B23" s="137" t="s">
        <v>174</v>
      </c>
      <c r="C23" s="138">
        <f>IFERROR((B2-B16)/B2,0)</f>
        <v>0</v>
      </c>
      <c r="D23" s="139" t="s">
        <v>175</v>
      </c>
    </row>
    <row r="24" spans="1:4" ht="36" customHeight="1">
      <c r="A24" s="140"/>
      <c r="B24" s="141" t="s">
        <v>176</v>
      </c>
      <c r="C24" s="142">
        <f>IFERROR(B16/B2,0)</f>
        <v>0</v>
      </c>
      <c r="D24" s="143" t="s">
        <v>177</v>
      </c>
    </row>
    <row r="25" spans="1:4" ht="36" customHeight="1">
      <c r="A25" s="136"/>
      <c r="B25" s="137" t="s">
        <v>178</v>
      </c>
      <c r="C25" s="138" t="str">
        <f>IF(B30&gt;1,"CRITICO",IF(B30&gt;0.8,"ATENCAO","OK"))</f>
        <v>CRITICO</v>
      </c>
      <c r="D25" s="139" t="s">
        <v>179</v>
      </c>
    </row>
    <row r="26" spans="1:4" ht="36" customHeight="1">
      <c r="A26" s="140"/>
      <c r="B26" s="141" t="s">
        <v>180</v>
      </c>
      <c r="C26" s="142">
        <f>IFERROR(B1/B8,0)</f>
        <v>0</v>
      </c>
      <c r="D26" s="143" t="s">
        <v>181</v>
      </c>
    </row>
    <row r="27" spans="1:4" ht="36" customHeight="1">
      <c r="A27" s="136"/>
      <c r="B27" s="137" t="s">
        <v>182</v>
      </c>
      <c r="C27" s="138">
        <f>IFERROR(B15/B23,0)</f>
        <v>0</v>
      </c>
      <c r="D27" s="139" t="s">
        <v>183</v>
      </c>
    </row>
    <row r="28" spans="1:4" ht="25.5" customHeight="1">
      <c r="A28" s="255" t="s">
        <v>184</v>
      </c>
      <c r="B28" s="255"/>
      <c r="C28" s="255"/>
      <c r="D28" s="255"/>
    </row>
    <row r="29" spans="1:4" ht="36" customHeight="1">
      <c r="A29" s="136"/>
      <c r="B29" s="137" t="s">
        <v>185</v>
      </c>
      <c r="C29" s="138">
        <f ca="1">COUNTIF(RECEITA!I16:I27,"Atrasado")</f>
        <v>4</v>
      </c>
      <c r="D29" s="139" t="s">
        <v>186</v>
      </c>
    </row>
    <row r="30" spans="1:4" ht="36" customHeight="1">
      <c r="A30" s="140"/>
      <c r="B30" s="141" t="s">
        <v>187</v>
      </c>
      <c r="C30" s="142">
        <f ca="1">COUNTIF(DESPESA!J15:J27,"Em Aberto")</f>
        <v>4</v>
      </c>
      <c r="D30" s="143" t="s">
        <v>188</v>
      </c>
    </row>
    <row r="31" spans="1:4" ht="36" customHeight="1">
      <c r="A31" s="136"/>
      <c r="B31" s="137" t="s">
        <v>189</v>
      </c>
      <c r="C31" s="138">
        <f ca="1">COUNTIF(DESPESA!J15:J27,"Atrasado")</f>
        <v>4</v>
      </c>
      <c r="D31" s="139" t="s">
        <v>190</v>
      </c>
    </row>
    <row r="32" spans="1:4" ht="36" customHeight="1">
      <c r="A32" s="140"/>
      <c r="B32" s="141" t="s">
        <v>155</v>
      </c>
      <c r="C32" s="142" t="str">
        <f>IF(B31&gt;=0.8,"✓ OK: "&amp;TEXT(B31,"0.0%"),"⚠ "&amp;TEXT(B31,"0.0%"))</f>
        <v>✓ OK: Alerta Atrasado Despesa</v>
      </c>
      <c r="D32" s="143" t="s">
        <v>191</v>
      </c>
    </row>
    <row r="33" spans="1:4" ht="36" customHeight="1">
      <c r="A33" s="136"/>
      <c r="B33" s="137" t="s">
        <v>192</v>
      </c>
      <c r="C33" s="138" t="str">
        <f>IF(B28&gt;=0,"POSITIVO: R$ "&amp;TEXT(B28,"#,##0.00"),"NEGATIVO: R$ "&amp;TEXT(ABS(B28),"#,##0.00"))</f>
        <v>POSITIVO: R$ ,000</v>
      </c>
      <c r="D33" s="139" t="s">
        <v>193</v>
      </c>
    </row>
    <row r="34" spans="1:4" ht="25.5" customHeight="1">
      <c r="A34" s="255" t="s">
        <v>194</v>
      </c>
      <c r="B34" s="255"/>
      <c r="C34" s="255"/>
      <c r="D34" s="255"/>
    </row>
    <row r="35" spans="1:4" ht="36" customHeight="1">
      <c r="A35" s="136"/>
      <c r="B35" s="137" t="s">
        <v>195</v>
      </c>
      <c r="C35" s="138" t="s">
        <v>196</v>
      </c>
      <c r="D35" s="139" t="s">
        <v>197</v>
      </c>
    </row>
    <row r="36" spans="1:4" ht="36" customHeight="1">
      <c r="A36" s="140"/>
      <c r="B36" s="141" t="s">
        <v>198</v>
      </c>
      <c r="C36" s="142" t="s">
        <v>199</v>
      </c>
      <c r="D36" s="143" t="s">
        <v>200</v>
      </c>
    </row>
    <row r="37" spans="1:4" ht="36" customHeight="1">
      <c r="A37" s="136"/>
      <c r="B37" s="137" t="s">
        <v>201</v>
      </c>
      <c r="C37" s="138" t="s">
        <v>202</v>
      </c>
      <c r="D37" s="139" t="s">
        <v>203</v>
      </c>
    </row>
    <row r="38" spans="1:4" ht="36" customHeight="1">
      <c r="A38" s="140"/>
      <c r="B38" s="141" t="s">
        <v>204</v>
      </c>
      <c r="C38" s="142" t="s">
        <v>205</v>
      </c>
      <c r="D38" s="143" t="s">
        <v>206</v>
      </c>
    </row>
    <row r="39" spans="1:4" ht="25.5" customHeight="1">
      <c r="A39" s="255" t="s">
        <v>207</v>
      </c>
      <c r="B39" s="255"/>
      <c r="C39" s="255"/>
      <c r="D39" s="255"/>
    </row>
    <row r="40" spans="1:4" ht="36" customHeight="1">
      <c r="A40" s="140"/>
      <c r="B40" s="141" t="s">
        <v>208</v>
      </c>
      <c r="C40" s="142" t="s">
        <v>209</v>
      </c>
      <c r="D40" s="143" t="s">
        <v>210</v>
      </c>
    </row>
    <row r="41" spans="1:4" ht="36" customHeight="1">
      <c r="A41" s="136"/>
      <c r="B41" s="137" t="s">
        <v>211</v>
      </c>
      <c r="C41" s="138" t="s">
        <v>212</v>
      </c>
      <c r="D41" s="139" t="s">
        <v>213</v>
      </c>
    </row>
    <row r="42" spans="1:4" ht="36" customHeight="1">
      <c r="A42" s="140"/>
      <c r="B42" s="141" t="s">
        <v>214</v>
      </c>
      <c r="C42" s="142" t="s">
        <v>215</v>
      </c>
      <c r="D42" s="143" t="s">
        <v>216</v>
      </c>
    </row>
    <row r="43" spans="1:4" ht="36" customHeight="1">
      <c r="A43" s="136"/>
      <c r="B43" s="137" t="s">
        <v>217</v>
      </c>
      <c r="C43" s="138" t="s">
        <v>218</v>
      </c>
      <c r="D43" s="139" t="s">
        <v>219</v>
      </c>
    </row>
    <row r="44" spans="1:4" ht="36" customHeight="1">
      <c r="A44" s="140"/>
      <c r="B44" s="141" t="s">
        <v>220</v>
      </c>
      <c r="C44" s="142" t="s">
        <v>221</v>
      </c>
      <c r="D44" s="143" t="s">
        <v>222</v>
      </c>
    </row>
    <row r="45" spans="1:4" ht="36" customHeight="1">
      <c r="A45" s="136"/>
      <c r="B45" s="137" t="s">
        <v>223</v>
      </c>
      <c r="C45" s="138" t="s">
        <v>224</v>
      </c>
      <c r="D45" s="139" t="s">
        <v>225</v>
      </c>
    </row>
    <row r="46" spans="1:4" ht="25.5" customHeight="1">
      <c r="A46" s="255" t="s">
        <v>226</v>
      </c>
      <c r="B46" s="255"/>
      <c r="C46" s="255"/>
      <c r="D46" s="255"/>
    </row>
    <row r="47" spans="1:4" ht="36" customHeight="1">
      <c r="A47" s="136"/>
      <c r="B47" s="137" t="s">
        <v>227</v>
      </c>
      <c r="C47" s="138" t="s">
        <v>228</v>
      </c>
      <c r="D47" s="139" t="s">
        <v>229</v>
      </c>
    </row>
    <row r="48" spans="1:4" ht="36" customHeight="1">
      <c r="A48" s="140"/>
      <c r="B48" s="141" t="s">
        <v>230</v>
      </c>
      <c r="C48" s="142" t="s">
        <v>231</v>
      </c>
      <c r="D48" s="143" t="s">
        <v>232</v>
      </c>
    </row>
    <row r="49" spans="1:8" ht="36" customHeight="1">
      <c r="A49" s="136"/>
      <c r="B49" s="137" t="s">
        <v>233</v>
      </c>
      <c r="C49" s="138" t="s">
        <v>234</v>
      </c>
      <c r="D49" s="139" t="s">
        <v>235</v>
      </c>
      <c r="E49" s="2"/>
      <c r="F49" s="2"/>
      <c r="G49" s="2"/>
      <c r="H49" s="2"/>
    </row>
    <row r="50" spans="1:8" ht="36" customHeight="1">
      <c r="A50" s="140"/>
      <c r="B50" s="141" t="s">
        <v>236</v>
      </c>
      <c r="C50" s="142" t="s">
        <v>237</v>
      </c>
      <c r="D50" s="143" t="s">
        <v>238</v>
      </c>
      <c r="E50" s="2"/>
      <c r="F50" s="2"/>
      <c r="G50" s="2"/>
      <c r="H50" s="2"/>
    </row>
    <row r="51" spans="1:8" ht="36" customHeight="1">
      <c r="A51" s="136"/>
      <c r="B51" s="137" t="s">
        <v>239</v>
      </c>
      <c r="C51" s="138" t="s">
        <v>240</v>
      </c>
      <c r="D51" s="139" t="s">
        <v>241</v>
      </c>
      <c r="E51" s="2"/>
      <c r="F51" s="2"/>
      <c r="G51" s="2"/>
      <c r="H51" s="2"/>
    </row>
    <row r="52" spans="1:8" ht="36" customHeight="1">
      <c r="A52" s="140"/>
      <c r="B52" s="141" t="s">
        <v>242</v>
      </c>
      <c r="C52" s="142" t="s">
        <v>243</v>
      </c>
      <c r="D52" s="143" t="s">
        <v>244</v>
      </c>
      <c r="E52" s="2"/>
      <c r="F52" s="120"/>
      <c r="G52" s="2"/>
      <c r="H52" s="2"/>
    </row>
    <row r="53" spans="1:8" ht="36" customHeight="1">
      <c r="A53" s="136"/>
      <c r="B53" s="137" t="s">
        <v>245</v>
      </c>
      <c r="C53" s="138" t="s">
        <v>246</v>
      </c>
      <c r="D53" s="139" t="s">
        <v>247</v>
      </c>
      <c r="E53" s="2"/>
      <c r="F53" s="2"/>
      <c r="G53" s="2"/>
      <c r="H53" s="2"/>
    </row>
    <row r="54" spans="1:8" ht="36" customHeight="1">
      <c r="A54" s="140"/>
      <c r="B54" s="141" t="s">
        <v>248</v>
      </c>
      <c r="C54" s="142" t="s">
        <v>249</v>
      </c>
      <c r="D54" s="143" t="s">
        <v>250</v>
      </c>
      <c r="E54" s="2"/>
      <c r="F54" s="2"/>
      <c r="G54" s="2"/>
      <c r="H54" s="2"/>
    </row>
    <row r="55" spans="1:8" ht="36" customHeight="1">
      <c r="A55" s="136"/>
      <c r="B55" s="137" t="s">
        <v>251</v>
      </c>
      <c r="C55" s="138" t="s">
        <v>252</v>
      </c>
      <c r="D55" s="139" t="s">
        <v>253</v>
      </c>
      <c r="E55" s="2"/>
      <c r="F55" s="2"/>
      <c r="G55" s="2"/>
      <c r="H55" s="120"/>
    </row>
    <row r="56" spans="1:8" ht="25.5" customHeight="1">
      <c r="A56" s="255" t="s">
        <v>254</v>
      </c>
      <c r="B56" s="255"/>
      <c r="C56" s="255"/>
      <c r="D56" s="255"/>
      <c r="E56" s="2"/>
      <c r="F56" s="2"/>
      <c r="G56" s="2"/>
      <c r="H56" s="2"/>
    </row>
    <row r="57" spans="1:8" ht="36" customHeight="1">
      <c r="A57" s="136"/>
      <c r="B57" s="137" t="s">
        <v>255</v>
      </c>
      <c r="C57" s="138" t="s">
        <v>256</v>
      </c>
      <c r="D57" s="139" t="s">
        <v>257</v>
      </c>
      <c r="E57" s="2"/>
      <c r="F57" s="2"/>
      <c r="G57" s="2"/>
      <c r="H57" s="2"/>
    </row>
    <row r="58" spans="1:8" ht="36" customHeight="1">
      <c r="A58" s="140"/>
      <c r="B58" s="141" t="s">
        <v>258</v>
      </c>
      <c r="C58" s="142" t="s">
        <v>259</v>
      </c>
      <c r="D58" s="143" t="s">
        <v>260</v>
      </c>
      <c r="E58" s="2"/>
      <c r="F58" s="2"/>
      <c r="G58" s="2"/>
      <c r="H58" s="2"/>
    </row>
    <row r="59" spans="1:8" ht="36" customHeight="1">
      <c r="A59" s="136"/>
      <c r="B59" s="137" t="s">
        <v>261</v>
      </c>
      <c r="C59" s="138" t="s">
        <v>262</v>
      </c>
      <c r="D59" s="139" t="s">
        <v>263</v>
      </c>
      <c r="E59" s="2"/>
      <c r="F59" s="2"/>
      <c r="G59" s="2"/>
      <c r="H59" s="2"/>
    </row>
    <row r="60" spans="1:8" ht="36" customHeight="1">
      <c r="A60" s="140"/>
      <c r="B60" s="141" t="s">
        <v>264</v>
      </c>
      <c r="C60" s="142" t="s">
        <v>265</v>
      </c>
      <c r="D60" s="143" t="s">
        <v>266</v>
      </c>
      <c r="E60" s="2"/>
      <c r="F60" s="2"/>
      <c r="G60" s="2"/>
      <c r="H60" s="2"/>
    </row>
    <row r="61" spans="1:8" ht="36" customHeight="1">
      <c r="A61" s="136"/>
      <c r="B61" s="137" t="s">
        <v>267</v>
      </c>
      <c r="C61" s="138" t="s">
        <v>268</v>
      </c>
      <c r="D61" s="139" t="s">
        <v>269</v>
      </c>
      <c r="E61" s="2"/>
      <c r="F61" s="2"/>
      <c r="G61" s="2"/>
      <c r="H61" s="2"/>
    </row>
    <row r="62" spans="1:8" ht="36" customHeight="1">
      <c r="A62" s="140"/>
      <c r="B62" s="141" t="s">
        <v>270</v>
      </c>
      <c r="C62" s="142" t="s">
        <v>271</v>
      </c>
      <c r="D62" s="143" t="s">
        <v>272</v>
      </c>
      <c r="E62" s="2"/>
      <c r="F62" s="2"/>
      <c r="G62" s="2"/>
      <c r="H62" s="2"/>
    </row>
    <row r="63" spans="1:8" ht="36" customHeight="1">
      <c r="A63" s="136"/>
      <c r="B63" s="137" t="s">
        <v>273</v>
      </c>
      <c r="C63" s="138" t="s">
        <v>274</v>
      </c>
      <c r="D63" s="139" t="s">
        <v>275</v>
      </c>
      <c r="E63" s="2"/>
      <c r="F63" s="2"/>
      <c r="G63" s="2"/>
      <c r="H63" s="2"/>
    </row>
    <row r="64" spans="1:8" ht="36" customHeight="1">
      <c r="A64" s="140"/>
      <c r="B64" s="141" t="s">
        <v>276</v>
      </c>
      <c r="C64" s="142" t="s">
        <v>277</v>
      </c>
      <c r="D64" s="143" t="s">
        <v>278</v>
      </c>
      <c r="E64" s="2"/>
      <c r="F64" s="2"/>
      <c r="G64" s="2"/>
      <c r="H64" s="2"/>
    </row>
    <row r="65" spans="1:4" ht="36" customHeight="1">
      <c r="A65" s="136"/>
      <c r="B65" s="137" t="s">
        <v>279</v>
      </c>
      <c r="C65" s="138" t="s">
        <v>280</v>
      </c>
      <c r="D65" s="139" t="s">
        <v>281</v>
      </c>
    </row>
    <row r="66" spans="1:4" ht="36" customHeight="1">
      <c r="A66" s="140"/>
      <c r="B66" s="141" t="s">
        <v>282</v>
      </c>
      <c r="C66" s="142" t="s">
        <v>283</v>
      </c>
      <c r="D66" s="143" t="s">
        <v>284</v>
      </c>
    </row>
    <row r="67" spans="1:4" ht="21.75" customHeight="1">
      <c r="A67" s="112"/>
      <c r="B67" s="112"/>
      <c r="C67" s="112"/>
      <c r="D67" s="112"/>
    </row>
    <row r="68" spans="1:4" ht="21.75" customHeight="1">
      <c r="A68" s="112"/>
      <c r="B68" s="112"/>
      <c r="C68" s="112"/>
      <c r="D68" s="147" t="s">
        <v>49</v>
      </c>
    </row>
  </sheetData>
  <sheetProtection algorithmName="SHA-512" hashValue="LtG5OHvaRp1vibZ6fqsHtFJABhbCe4r5FSb/vyV/K8ourhDrQ3Om/q/yJbZFDcq18Huz/z0GINLSD4b0FIygPQ==" saltValue="0WE/QmAJggI7KOYyPIaYMQ==" spinCount="100000" sheet="1" formatCells="0" formatColumns="0" formatRows="0" sort="0" autoFilter="0" pivotTables="0"/>
  <mergeCells count="11">
    <mergeCell ref="A2:D2"/>
    <mergeCell ref="A3:D3"/>
    <mergeCell ref="A4:D4"/>
    <mergeCell ref="A8:D8"/>
    <mergeCell ref="A15:D15"/>
    <mergeCell ref="A56:D56"/>
    <mergeCell ref="A21:D21"/>
    <mergeCell ref="A28:D28"/>
    <mergeCell ref="A34:D34"/>
    <mergeCell ref="A39:D39"/>
    <mergeCell ref="A46:D46"/>
  </mergeCells>
  <pageMargins left="0.75" right="0.75" top="1" bottom="1" header="0.51181102362204689" footer="0.51181102362204689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"/>
  </sheetPr>
  <dimension ref="A1:T37"/>
  <sheetViews>
    <sheetView topLeftCell="B1" workbookViewId="0">
      <selection activeCell="J8" sqref="J8"/>
    </sheetView>
  </sheetViews>
  <sheetFormatPr defaultColWidth="8.5703125" defaultRowHeight="15.75"/>
  <cols>
    <col min="1" max="1" width="26.42578125" customWidth="1"/>
    <col min="2" max="2" width="20.42578125" customWidth="1"/>
    <col min="4" max="4" width="19.85546875" customWidth="1"/>
    <col min="5" max="5" width="12" customWidth="1"/>
    <col min="7" max="7" width="16.28515625" customWidth="1"/>
    <col min="8" max="8" width="13.85546875" customWidth="1"/>
    <col min="10" max="10" width="14.28515625" customWidth="1"/>
    <col min="11" max="11" width="14.7109375" customWidth="1"/>
    <col min="13" max="13" width="12.28515625" customWidth="1"/>
    <col min="14" max="14" width="12.5703125" customWidth="1"/>
    <col min="15" max="15" width="14.5703125" customWidth="1"/>
    <col min="17" max="17" width="11.5703125" customWidth="1"/>
    <col min="19" max="19" width="20.5703125" customWidth="1"/>
    <col min="20" max="20" width="12" customWidth="1"/>
  </cols>
  <sheetData>
    <row r="1" spans="1:20" ht="15" customHeight="1">
      <c r="A1" s="148" t="s">
        <v>285</v>
      </c>
      <c r="B1" s="149">
        <f>RECEITA!C7</f>
        <v>57740.65</v>
      </c>
      <c r="C1" s="2"/>
      <c r="D1" s="148" t="s">
        <v>286</v>
      </c>
      <c r="E1" s="148" t="s">
        <v>287</v>
      </c>
      <c r="F1" s="2"/>
      <c r="G1" s="148" t="s">
        <v>288</v>
      </c>
      <c r="H1" s="148" t="s">
        <v>287</v>
      </c>
      <c r="I1" s="2"/>
      <c r="J1" s="148" t="s">
        <v>289</v>
      </c>
      <c r="K1" s="148" t="s">
        <v>287</v>
      </c>
      <c r="L1" s="2"/>
      <c r="M1" s="148" t="s">
        <v>290</v>
      </c>
      <c r="N1" s="148" t="s">
        <v>291</v>
      </c>
      <c r="O1" s="148" t="s">
        <v>292</v>
      </c>
      <c r="P1" s="2"/>
      <c r="Q1" s="148" t="s">
        <v>293</v>
      </c>
      <c r="R1" s="148" t="s">
        <v>287</v>
      </c>
      <c r="S1" s="148" t="s">
        <v>294</v>
      </c>
      <c r="T1" s="148" t="s">
        <v>295</v>
      </c>
    </row>
    <row r="2" spans="1:20" ht="15" customHeight="1">
      <c r="A2" s="148" t="s">
        <v>296</v>
      </c>
      <c r="B2" s="150">
        <f ca="1">RECEITA!E10</f>
        <v>12693.550000000001</v>
      </c>
      <c r="C2" s="2"/>
      <c r="D2" s="148" t="s">
        <v>65</v>
      </c>
      <c r="E2" s="148">
        <f>_DadosAux!B19</f>
        <v>108688.81</v>
      </c>
      <c r="F2" s="2"/>
      <c r="G2" s="148" t="s">
        <v>297</v>
      </c>
      <c r="H2" s="150">
        <f ca="1">_DadosAux!B2</f>
        <v>12693.550000000001</v>
      </c>
      <c r="I2" s="2"/>
      <c r="J2" s="148" t="s">
        <v>298</v>
      </c>
      <c r="K2" s="150">
        <f ca="1">_DadosAux!B16</f>
        <v>123325.19</v>
      </c>
      <c r="L2" s="2"/>
      <c r="M2" s="148" t="s">
        <v>299</v>
      </c>
      <c r="N2" s="149">
        <f>_DadosAux!B1</f>
        <v>57740.65</v>
      </c>
      <c r="O2" s="150">
        <f>_DadosAux!B15</f>
        <v>167793.31000000003</v>
      </c>
      <c r="P2" s="2"/>
      <c r="Q2" s="148" t="s">
        <v>31</v>
      </c>
      <c r="R2" s="148">
        <f>_DadosAux!B12</f>
        <v>52349.5</v>
      </c>
      <c r="S2" s="148" t="s">
        <v>300</v>
      </c>
      <c r="T2" s="151">
        <f ca="1">_DadosAux!B31</f>
        <v>0.21983732431138203</v>
      </c>
    </row>
    <row r="3" spans="1:20" ht="15" customHeight="1">
      <c r="A3" s="148" t="s">
        <v>301</v>
      </c>
      <c r="B3" s="149">
        <f ca="1">RECEITA!C9</f>
        <v>2896.15</v>
      </c>
      <c r="C3" s="2"/>
      <c r="D3" s="148" t="s">
        <v>71</v>
      </c>
      <c r="E3" s="148">
        <f>_DadosAux!B20</f>
        <v>47154.02</v>
      </c>
      <c r="F3" s="2"/>
      <c r="G3" s="148" t="s">
        <v>302</v>
      </c>
      <c r="H3" s="149">
        <f ca="1">_DadosAux!B3</f>
        <v>2896.15</v>
      </c>
      <c r="I3" s="2"/>
      <c r="J3" s="148" t="s">
        <v>303</v>
      </c>
      <c r="K3" s="150">
        <f ca="1">_DadosAux!B17</f>
        <v>31823.43</v>
      </c>
      <c r="L3" s="2"/>
      <c r="M3" s="148" t="s">
        <v>304</v>
      </c>
      <c r="N3" s="150">
        <f ca="1">_DadosAux!B2</f>
        <v>12693.550000000001</v>
      </c>
      <c r="O3" s="150">
        <f ca="1">_DadosAux!B16</f>
        <v>123325.19</v>
      </c>
      <c r="P3" s="2"/>
      <c r="Q3" s="148" t="s">
        <v>37</v>
      </c>
      <c r="R3" s="148">
        <f>_DadosAux!B13</f>
        <v>5391.15</v>
      </c>
      <c r="S3" s="148" t="s">
        <v>305</v>
      </c>
      <c r="T3" s="148">
        <f ca="1">_DadosAux!B32</f>
        <v>0.73498275944374647</v>
      </c>
    </row>
    <row r="4" spans="1:20" ht="15" customHeight="1">
      <c r="A4" s="148" t="s">
        <v>306</v>
      </c>
      <c r="B4" s="149">
        <f ca="1">RECEITA!C10</f>
        <v>14647.509999999998</v>
      </c>
      <c r="C4" s="2"/>
      <c r="D4" s="148" t="s">
        <v>74</v>
      </c>
      <c r="E4" s="148">
        <f>_DadosAux!B21</f>
        <v>9050.59</v>
      </c>
      <c r="F4" s="2"/>
      <c r="G4" s="148" t="s">
        <v>307</v>
      </c>
      <c r="H4" s="149">
        <f ca="1">_DadosAux!B4</f>
        <v>14647.509999999998</v>
      </c>
      <c r="I4" s="2"/>
      <c r="J4" s="148" t="s">
        <v>307</v>
      </c>
      <c r="K4" s="150">
        <f ca="1">_DadosAux!B18</f>
        <v>12590.75</v>
      </c>
      <c r="L4" s="2"/>
      <c r="M4" s="148" t="s">
        <v>308</v>
      </c>
      <c r="N4" s="148">
        <f ca="1">_DadosAux!B33</f>
        <v>17543.66</v>
      </c>
      <c r="O4" s="150">
        <f ca="1">_DadosAux!B34</f>
        <v>44414.18</v>
      </c>
      <c r="P4" s="2"/>
      <c r="Q4" s="2"/>
      <c r="R4" s="2"/>
      <c r="S4" s="148" t="s">
        <v>309</v>
      </c>
      <c r="T4" s="148">
        <f ca="1">_DadosAux!B30</f>
        <v>9.7155791720992148</v>
      </c>
    </row>
    <row r="5" spans="1:20" ht="15" customHeight="1">
      <c r="A5" s="148" t="s">
        <v>310</v>
      </c>
      <c r="B5" s="150">
        <f ca="1">RECEITA!E8</f>
        <v>28780.087699999996</v>
      </c>
      <c r="C5" s="2"/>
      <c r="D5" s="148" t="s">
        <v>78</v>
      </c>
      <c r="E5" s="148">
        <f>_DadosAux!B22</f>
        <v>2899.89</v>
      </c>
      <c r="F5" s="2"/>
      <c r="G5" s="2"/>
      <c r="H5" s="2"/>
      <c r="I5" s="2"/>
      <c r="J5" s="148"/>
      <c r="K5" s="148"/>
      <c r="L5" s="2"/>
      <c r="M5" s="2"/>
      <c r="N5" s="2"/>
      <c r="O5" s="2"/>
      <c r="P5" s="2"/>
      <c r="Q5" s="2"/>
      <c r="R5" s="2"/>
      <c r="S5" s="2"/>
      <c r="T5" s="2"/>
    </row>
    <row r="6" spans="1:20" ht="15" customHeight="1">
      <c r="A6" s="148" t="s">
        <v>311</v>
      </c>
      <c r="B6" s="148">
        <f>SUMIF(RECEITA!H16:H27,"Cartao",RECEITA!G16:G27)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5" customHeight="1">
      <c r="A7" s="148" t="s">
        <v>312</v>
      </c>
      <c r="B7" s="150">
        <f ca="1">RECEITA!E9</f>
        <v>1237.5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5" customHeight="1">
      <c r="A8" s="148" t="s">
        <v>313</v>
      </c>
      <c r="B8" s="148">
        <f>COUNTA(RECEITA!A16:A27)</f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5" customHeight="1">
      <c r="A9" s="148" t="s">
        <v>314</v>
      </c>
      <c r="B9" s="148">
        <f ca="1">COUNTIF(RECEITA!I16:I27,"Recebido")</f>
        <v>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5" customHeight="1">
      <c r="A10" s="148" t="s">
        <v>315</v>
      </c>
      <c r="B10" s="148">
        <f ca="1">COUNTIF(RECEITA!I16:I27,"Pendente")</f>
        <v>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5" customHeight="1">
      <c r="A11" s="148" t="s">
        <v>316</v>
      </c>
      <c r="B11" s="148">
        <f ca="1">COUNTIF(RECEITA!I16:I27,"Atrasado")</f>
        <v>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5" customHeight="1">
      <c r="A12" s="148" t="s">
        <v>317</v>
      </c>
      <c r="B12" s="148">
        <f>SUMIF(RECEITA!D16:D27,"Venda",RECEITA!G16:G27)</f>
        <v>52349.5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5" customHeight="1">
      <c r="A13" s="148" t="s">
        <v>318</v>
      </c>
      <c r="B13" s="148">
        <f>SUMIF(RECEITA!D16:D27,"Locação",RECEITA!G16:G27)</f>
        <v>5391.15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5" spans="1:20" ht="15" customHeight="1">
      <c r="A15" s="148" t="s">
        <v>319</v>
      </c>
      <c r="B15" s="150">
        <f>DESPESA!C7</f>
        <v>167793.31000000003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5" customHeight="1">
      <c r="A16" s="148" t="s">
        <v>320</v>
      </c>
      <c r="B16" s="150">
        <f ca="1">DESPESA!F10</f>
        <v>123325.19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" ht="15" customHeight="1">
      <c r="A17" s="148" t="s">
        <v>321</v>
      </c>
      <c r="B17" s="150">
        <f ca="1">DESPESA!C9</f>
        <v>31823.43</v>
      </c>
    </row>
    <row r="18" spans="1:2" ht="15" customHeight="1">
      <c r="A18" s="148" t="s">
        <v>322</v>
      </c>
      <c r="B18" s="150">
        <f ca="1">DESPESA!C10</f>
        <v>12590.75</v>
      </c>
    </row>
    <row r="19" spans="1:2" ht="15" customHeight="1">
      <c r="A19" s="148" t="s">
        <v>323</v>
      </c>
      <c r="B19" s="148">
        <f>SUMIF(DESPESA!D15:D27,"Operacional",DESPESA!H15:H27)</f>
        <v>108688.81</v>
      </c>
    </row>
    <row r="20" spans="1:2" ht="15" customHeight="1">
      <c r="A20" s="148" t="s">
        <v>324</v>
      </c>
      <c r="B20" s="148">
        <f>SUMIF(DESPESA!D15:D27,"Financeiro",DESPESA!H15:H27)</f>
        <v>47154.02</v>
      </c>
    </row>
    <row r="21" spans="1:2" ht="15" customHeight="1">
      <c r="A21" s="148" t="s">
        <v>325</v>
      </c>
      <c r="B21" s="148">
        <f>SUMIF(DESPESA!D15:D27,"Administrativo",DESPESA!H15:H27)</f>
        <v>9050.59</v>
      </c>
    </row>
    <row r="22" spans="1:2" ht="15" customHeight="1">
      <c r="A22" s="148" t="s">
        <v>326</v>
      </c>
      <c r="B22" s="148">
        <f>SUMIF(DESPESA!D15:D27,"Investimento",DESPESA!H15:H27)</f>
        <v>2899.89</v>
      </c>
    </row>
    <row r="23" spans="1:2" ht="15" customHeight="1">
      <c r="A23" s="148" t="s">
        <v>327</v>
      </c>
      <c r="B23" s="148">
        <f>COUNTA(DESPESA!A15:A27)</f>
        <v>13</v>
      </c>
    </row>
    <row r="24" spans="1:2" ht="15" customHeight="1">
      <c r="A24" s="148" t="s">
        <v>328</v>
      </c>
      <c r="B24" s="148">
        <f ca="1">COUNTIF(DESPESA!J15:J27,"Quitado")</f>
        <v>5</v>
      </c>
    </row>
    <row r="25" spans="1:2" ht="15" customHeight="1">
      <c r="A25" s="148" t="s">
        <v>329</v>
      </c>
      <c r="B25" s="148">
        <f ca="1">COUNTIF(DESPESA!J15:J27,"Atrasado")</f>
        <v>4</v>
      </c>
    </row>
    <row r="26" spans="1:2" ht="15" customHeight="1">
      <c r="A26" s="148" t="s">
        <v>330</v>
      </c>
      <c r="B26" s="148">
        <f ca="1">COUNTIF(DESPESA!J15:J27,"Em Aberto")</f>
        <v>4</v>
      </c>
    </row>
    <row r="28" spans="1:2" ht="15" customHeight="1">
      <c r="A28" s="148" t="s">
        <v>331</v>
      </c>
      <c r="B28" s="150">
        <f ca="1">_DadosAux!B2-_DadosAux!B16</f>
        <v>-110631.64</v>
      </c>
    </row>
    <row r="29" spans="1:2" ht="15" customHeight="1">
      <c r="A29" s="148" t="s">
        <v>332</v>
      </c>
      <c r="B29" s="148">
        <f ca="1">IFERROR((_DadosAux!B2-_DadosAux!B16)/_DadosAux!B2,0)</f>
        <v>-8.7155791720992148</v>
      </c>
    </row>
    <row r="30" spans="1:2" ht="15" customHeight="1">
      <c r="A30" s="148" t="s">
        <v>333</v>
      </c>
      <c r="B30" s="148">
        <f ca="1">IFERROR(_DadosAux!B16/_DadosAux!B2,0)</f>
        <v>9.7155791720992148</v>
      </c>
    </row>
    <row r="31" spans="1:2" ht="15" customHeight="1">
      <c r="A31" s="148" t="s">
        <v>334</v>
      </c>
      <c r="B31" s="151">
        <f ca="1">IFERROR(_DadosAux!B2/_DadosAux!B1,0)</f>
        <v>0.21983732431138203</v>
      </c>
    </row>
    <row r="32" spans="1:2" ht="15" customHeight="1">
      <c r="A32" s="148" t="s">
        <v>335</v>
      </c>
      <c r="B32" s="148">
        <f ca="1">IFERROR(_DadosAux!B16/_DadosAux!B15,0)</f>
        <v>0.73498275944374647</v>
      </c>
    </row>
    <row r="33" spans="1:19" ht="15" customHeight="1">
      <c r="A33" s="148" t="s">
        <v>336</v>
      </c>
      <c r="B33" s="148">
        <f ca="1">_DadosAux!B3+_DadosAux!B4</f>
        <v>17543.66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" customHeight="1">
      <c r="A34" s="148" t="s">
        <v>337</v>
      </c>
      <c r="B34" s="150">
        <f ca="1">_DadosAux!B17+_DadosAux!B18</f>
        <v>44414.18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" customHeight="1">
      <c r="A35" s="148" t="s">
        <v>338</v>
      </c>
      <c r="B35" s="148">
        <f>IFERROR(_DadosAux!B1/_DadosAux!B8,0)</f>
        <v>4811.7208333333338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" customHeight="1">
      <c r="A36" s="148" t="s">
        <v>339</v>
      </c>
      <c r="B36" s="151">
        <f>IFERROR(_DadosAux!B15/_DadosAux!B23,0)</f>
        <v>12907.177692307694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52" t="s">
        <v>49</v>
      </c>
    </row>
  </sheetData>
  <sheetProtection algorithmName="SHA-512" hashValue="J9MDRvNvnwgDn4RTekKW2ZwtZVQ2QYjk50ETjr+dQS+GykGjAStPnW9iE6FwcwJuyGmn6A1FfWvQDLlUla4KEw==" saltValue="j4VuG8x3ZG2ACKHx78ETsQ==" spinCount="100000" sheet="1" objects="1" scenarios="1"/>
  <pageMargins left="0.75" right="0.75" top="1" bottom="1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5</cp:revision>
  <dcterms:created xsi:type="dcterms:W3CDTF">2026-03-23T22:11:14Z</dcterms:created>
  <dcterms:modified xsi:type="dcterms:W3CDTF">2026-03-27T02:34:11Z</dcterms:modified>
  <cp:category/>
  <cp:contentStatus/>
</cp:coreProperties>
</file>